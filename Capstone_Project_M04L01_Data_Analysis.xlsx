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ohit\Downloads\"/>
    </mc:Choice>
  </mc:AlternateContent>
  <xr:revisionPtr revIDLastSave="0" documentId="13_ncr:1_{4F3AFABE-C5FD-4BF6-A855-CB57E12B26F0}" xr6:coauthVersionLast="47" xr6:coauthVersionMax="47" xr10:uidLastSave="{00000000-0000-0000-0000-000000000000}"/>
  <bookViews>
    <workbookView xWindow="-108" yWindow="-108" windowWidth="23256" windowHeight="12456" tabRatio="902" activeTab="5" xr2:uid="{A76E7D3C-C845-4D59-81A0-7581CFEFD0C1}"/>
  </bookViews>
  <sheets>
    <sheet name="feedback_data" sheetId="1" r:id="rId1"/>
    <sheet name="combined_dataset" sheetId="5" r:id="rId2"/>
    <sheet name="appointment_data" sheetId="2" r:id="rId3"/>
    <sheet name="resource_data" sheetId="3" r:id="rId4"/>
    <sheet name="Resource Allocation" sheetId="7" r:id="rId5"/>
    <sheet name="Appointment Hours" sheetId="8" r:id="rId6"/>
    <sheet name="Satisfaction level" sheetId="9" r:id="rId7"/>
  </sheets>
  <definedNames>
    <definedName name="_xlnm._FilterDatabase" localSheetId="2" hidden="1">appointment_data!$A$1:$G$201</definedName>
    <definedName name="Slicer_DoctorID">#N/A</definedName>
    <definedName name="Slicer_ResourceType">#N/A</definedName>
  </definedNames>
  <calcPr calcId="191029"/>
  <pivotCaches>
    <pivotCache cacheId="19" r:id="rId8"/>
    <pivotCache cacheId="20" r:id="rId9"/>
    <pivotCache cacheId="17"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5" l="1"/>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 i="5"/>
  <c r="G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alcChain>
</file>

<file path=xl/sharedStrings.xml><?xml version="1.0" encoding="utf-8"?>
<sst xmlns="http://schemas.openxmlformats.org/spreadsheetml/2006/main" count="3274" uniqueCount="874">
  <si>
    <t>FeedbackID</t>
  </si>
  <si>
    <t>PatientID</t>
  </si>
  <si>
    <t>Department</t>
  </si>
  <si>
    <t>Feedback Score</t>
  </si>
  <si>
    <t>Comments</t>
  </si>
  <si>
    <t>WaitTime( in min)</t>
  </si>
  <si>
    <t>F1000</t>
  </si>
  <si>
    <t>P96099</t>
  </si>
  <si>
    <t>Cardiology</t>
  </si>
  <si>
    <t>Delayed response</t>
  </si>
  <si>
    <t>F1001</t>
  </si>
  <si>
    <t>P16262</t>
  </si>
  <si>
    <t>Orthopedics</t>
  </si>
  <si>
    <t>Needs improvement</t>
  </si>
  <si>
    <t>F1002</t>
  </si>
  <si>
    <t>P99601</t>
  </si>
  <si>
    <t>Excellent care</t>
  </si>
  <si>
    <t>F1003</t>
  </si>
  <si>
    <t>P55235</t>
  </si>
  <si>
    <t>Neurology</t>
  </si>
  <si>
    <t>Amazing team</t>
  </si>
  <si>
    <t>F1004</t>
  </si>
  <si>
    <t>P93372</t>
  </si>
  <si>
    <t>Pediatric</t>
  </si>
  <si>
    <t>Great doctors</t>
  </si>
  <si>
    <t>F1005</t>
  </si>
  <si>
    <t>P84444</t>
  </si>
  <si>
    <t>Satisfactory</t>
  </si>
  <si>
    <t>F1006</t>
  </si>
  <si>
    <t>P41013</t>
  </si>
  <si>
    <t>F1007</t>
  </si>
  <si>
    <t>P17235</t>
  </si>
  <si>
    <t>Child-friendly staff</t>
  </si>
  <si>
    <t>F1008</t>
  </si>
  <si>
    <t>P35768</t>
  </si>
  <si>
    <t>F1009</t>
  </si>
  <si>
    <t>P28832</t>
  </si>
  <si>
    <t>F1010</t>
  </si>
  <si>
    <t>P29680</t>
  </si>
  <si>
    <t>Room cleanliness issue</t>
  </si>
  <si>
    <t>F1011</t>
  </si>
  <si>
    <t>P93978</t>
  </si>
  <si>
    <t>Long wait times</t>
  </si>
  <si>
    <t>F1012</t>
  </si>
  <si>
    <t>P83760</t>
  </si>
  <si>
    <t>F1013</t>
  </si>
  <si>
    <t>P41254</t>
  </si>
  <si>
    <t>F1014</t>
  </si>
  <si>
    <t>P73818</t>
  </si>
  <si>
    <t>F1015</t>
  </si>
  <si>
    <t>P79312</t>
  </si>
  <si>
    <t>Very good</t>
  </si>
  <si>
    <t>F1016</t>
  </si>
  <si>
    <t>P82827</t>
  </si>
  <si>
    <t>Average</t>
  </si>
  <si>
    <t>F1017</t>
  </si>
  <si>
    <t>P25878</t>
  </si>
  <si>
    <t>Helpful staff</t>
  </si>
  <si>
    <t>F1018</t>
  </si>
  <si>
    <t>P93291</t>
  </si>
  <si>
    <t>Efficient process</t>
  </si>
  <si>
    <t>F1019</t>
  </si>
  <si>
    <t>P14299</t>
  </si>
  <si>
    <t>F1020</t>
  </si>
  <si>
    <t>P90461</t>
  </si>
  <si>
    <t>Oncology</t>
  </si>
  <si>
    <t>F1021</t>
  </si>
  <si>
    <t>P77174</t>
  </si>
  <si>
    <t>F1022</t>
  </si>
  <si>
    <t>P38694</t>
  </si>
  <si>
    <t>General Medicine</t>
  </si>
  <si>
    <t>F1023</t>
  </si>
  <si>
    <t>P45916</t>
  </si>
  <si>
    <t>F1024</t>
  </si>
  <si>
    <t>P98707</t>
  </si>
  <si>
    <t>Highly recommended</t>
  </si>
  <si>
    <t>F1025</t>
  </si>
  <si>
    <t>P68619</t>
  </si>
  <si>
    <t>F1026</t>
  </si>
  <si>
    <t>P11071</t>
  </si>
  <si>
    <t>F1027</t>
  </si>
  <si>
    <t>P18878</t>
  </si>
  <si>
    <t>F1028</t>
  </si>
  <si>
    <t>P88817</t>
  </si>
  <si>
    <t>F1029</t>
  </si>
  <si>
    <t>P70452</t>
  </si>
  <si>
    <t>F1030</t>
  </si>
  <si>
    <t>P79213</t>
  </si>
  <si>
    <t>F1031</t>
  </si>
  <si>
    <t>P92292</t>
  </si>
  <si>
    <t>F1032</t>
  </si>
  <si>
    <t>P46858</t>
  </si>
  <si>
    <t>F1033</t>
  </si>
  <si>
    <t>P10337</t>
  </si>
  <si>
    <t>F1034</t>
  </si>
  <si>
    <t>P76416</t>
  </si>
  <si>
    <t>F1035</t>
  </si>
  <si>
    <t>P47558</t>
  </si>
  <si>
    <t>F1036</t>
  </si>
  <si>
    <t>P10851</t>
  </si>
  <si>
    <t>F1037</t>
  </si>
  <si>
    <t>P70960</t>
  </si>
  <si>
    <t>F1038</t>
  </si>
  <si>
    <t>P62667</t>
  </si>
  <si>
    <t>F1039</t>
  </si>
  <si>
    <t>P56742</t>
  </si>
  <si>
    <t>Good service</t>
  </si>
  <si>
    <t>F1040</t>
  </si>
  <si>
    <t>P30132</t>
  </si>
  <si>
    <t>F1041</t>
  </si>
  <si>
    <t>P43686</t>
  </si>
  <si>
    <t>F1042</t>
  </si>
  <si>
    <t>P43188</t>
  </si>
  <si>
    <t>F1043</t>
  </si>
  <si>
    <t>P35517</t>
  </si>
  <si>
    <t>F1044</t>
  </si>
  <si>
    <t>P87789</t>
  </si>
  <si>
    <t>F1045</t>
  </si>
  <si>
    <t>P76847</t>
  </si>
  <si>
    <t>F1046</t>
  </si>
  <si>
    <t>P97899</t>
  </si>
  <si>
    <t>F1047</t>
  </si>
  <si>
    <t>P67499</t>
  </si>
  <si>
    <t>F1048</t>
  </si>
  <si>
    <t>P22024</t>
  </si>
  <si>
    <t>F1049</t>
  </si>
  <si>
    <t>P61654</t>
  </si>
  <si>
    <t>F1050</t>
  </si>
  <si>
    <t>P25059</t>
  </si>
  <si>
    <t>F1051</t>
  </si>
  <si>
    <t>P80104</t>
  </si>
  <si>
    <t>F1052</t>
  </si>
  <si>
    <t>P89217</t>
  </si>
  <si>
    <t>F1053</t>
  </si>
  <si>
    <t>P40896</t>
  </si>
  <si>
    <t>F1054</t>
  </si>
  <si>
    <t>P86378</t>
  </si>
  <si>
    <t>F1055</t>
  </si>
  <si>
    <t>P93573</t>
  </si>
  <si>
    <t>F1056</t>
  </si>
  <si>
    <t>P27259</t>
  </si>
  <si>
    <t>F1057</t>
  </si>
  <si>
    <t>P11866</t>
  </si>
  <si>
    <t>F1058</t>
  </si>
  <si>
    <t>P82148</t>
  </si>
  <si>
    <t>F1059</t>
  </si>
  <si>
    <t>P96356</t>
  </si>
  <si>
    <t>F1060</t>
  </si>
  <si>
    <t>P95475</t>
  </si>
  <si>
    <t>F1061</t>
  </si>
  <si>
    <t>P24760</t>
  </si>
  <si>
    <t>F1062</t>
  </si>
  <si>
    <t>P94013</t>
  </si>
  <si>
    <t>F1063</t>
  </si>
  <si>
    <t>P28262</t>
  </si>
  <si>
    <t>F1064</t>
  </si>
  <si>
    <t>P27012</t>
  </si>
  <si>
    <t>F1065</t>
  </si>
  <si>
    <t>P14071</t>
  </si>
  <si>
    <t>F1066</t>
  </si>
  <si>
    <t>P42600</t>
  </si>
  <si>
    <t>F1067</t>
  </si>
  <si>
    <t>P59519</t>
  </si>
  <si>
    <t>F1068</t>
  </si>
  <si>
    <t>P87869</t>
  </si>
  <si>
    <t>F1069</t>
  </si>
  <si>
    <t>P57426</t>
  </si>
  <si>
    <t>F1070</t>
  </si>
  <si>
    <t>P77563</t>
  </si>
  <si>
    <t>F1071</t>
  </si>
  <si>
    <t>P29377</t>
  </si>
  <si>
    <t>F1072</t>
  </si>
  <si>
    <t>P68223</t>
  </si>
  <si>
    <t>F1073</t>
  </si>
  <si>
    <t>P55949</t>
  </si>
  <si>
    <t>F1074</t>
  </si>
  <si>
    <t>P23588</t>
  </si>
  <si>
    <t>F1075</t>
  </si>
  <si>
    <t>P73075</t>
  </si>
  <si>
    <t>F1076</t>
  </si>
  <si>
    <t>P82492</t>
  </si>
  <si>
    <t>F1077</t>
  </si>
  <si>
    <t>P77493</t>
  </si>
  <si>
    <t>F1078</t>
  </si>
  <si>
    <t>P22316</t>
  </si>
  <si>
    <t>F1079</t>
  </si>
  <si>
    <t>P49994</t>
  </si>
  <si>
    <t>F1080</t>
  </si>
  <si>
    <t>P71033</t>
  </si>
  <si>
    <t>F1081</t>
  </si>
  <si>
    <t>P28668</t>
  </si>
  <si>
    <t>F1082</t>
  </si>
  <si>
    <t>P76574</t>
  </si>
  <si>
    <t>F1083</t>
  </si>
  <si>
    <t>P34541</t>
  </si>
  <si>
    <t>F1084</t>
  </si>
  <si>
    <t>P50275</t>
  </si>
  <si>
    <t>F1085</t>
  </si>
  <si>
    <t>P28861</t>
  </si>
  <si>
    <t>F1086</t>
  </si>
  <si>
    <t>P11217</t>
  </si>
  <si>
    <t>F1087</t>
  </si>
  <si>
    <t>P56741</t>
  </si>
  <si>
    <t>F1088</t>
  </si>
  <si>
    <t>P19592</t>
  </si>
  <si>
    <t>F1089</t>
  </si>
  <si>
    <t>P94928</t>
  </si>
  <si>
    <t>F1090</t>
  </si>
  <si>
    <t>P73844</t>
  </si>
  <si>
    <t>F1091</t>
  </si>
  <si>
    <t>P50711</t>
  </si>
  <si>
    <t>F1092</t>
  </si>
  <si>
    <t>P30920</t>
  </si>
  <si>
    <t>F1093</t>
  </si>
  <si>
    <t>P26650</t>
  </si>
  <si>
    <t>F1094</t>
  </si>
  <si>
    <t>P22791</t>
  </si>
  <si>
    <t>F1095</t>
  </si>
  <si>
    <t>P17310</t>
  </si>
  <si>
    <t>F1096</t>
  </si>
  <si>
    <t>P61087</t>
  </si>
  <si>
    <t>F1097</t>
  </si>
  <si>
    <t>P81824</t>
  </si>
  <si>
    <t>F1098</t>
  </si>
  <si>
    <t>P24131</t>
  </si>
  <si>
    <t>F1099</t>
  </si>
  <si>
    <t>P38330</t>
  </si>
  <si>
    <t>F1100</t>
  </si>
  <si>
    <t>P65114</t>
  </si>
  <si>
    <t>F1101</t>
  </si>
  <si>
    <t>P88218</t>
  </si>
  <si>
    <t>F1102</t>
  </si>
  <si>
    <t>P34644</t>
  </si>
  <si>
    <t>F1103</t>
  </si>
  <si>
    <t>P29322</t>
  </si>
  <si>
    <t>F1104</t>
  </si>
  <si>
    <t>P64103</t>
  </si>
  <si>
    <t>F1105</t>
  </si>
  <si>
    <t>P31843</t>
  </si>
  <si>
    <t>F1106</t>
  </si>
  <si>
    <t>P33026</t>
  </si>
  <si>
    <t>F1107</t>
  </si>
  <si>
    <t>P47436</t>
  </si>
  <si>
    <t>F1108</t>
  </si>
  <si>
    <t>P48965</t>
  </si>
  <si>
    <t>F1109</t>
  </si>
  <si>
    <t>P20771</t>
  </si>
  <si>
    <t>F1110</t>
  </si>
  <si>
    <t>P32966</t>
  </si>
  <si>
    <t>F1111</t>
  </si>
  <si>
    <t>P65077</t>
  </si>
  <si>
    <t>F1112</t>
  </si>
  <si>
    <t>P30147</t>
  </si>
  <si>
    <t>F1113</t>
  </si>
  <si>
    <t>P48563</t>
  </si>
  <si>
    <t>F1114</t>
  </si>
  <si>
    <t>P54890</t>
  </si>
  <si>
    <t>F1115</t>
  </si>
  <si>
    <t>P77589</t>
  </si>
  <si>
    <t>F1116</t>
  </si>
  <si>
    <t>P59917</t>
  </si>
  <si>
    <t>F1117</t>
  </si>
  <si>
    <t>P89260</t>
  </si>
  <si>
    <t>F1118</t>
  </si>
  <si>
    <t>P22612</t>
  </si>
  <si>
    <t>F1119</t>
  </si>
  <si>
    <t>P10983</t>
  </si>
  <si>
    <t>F1120</t>
  </si>
  <si>
    <t>P61404</t>
  </si>
  <si>
    <t>F1121</t>
  </si>
  <si>
    <t>P68408</t>
  </si>
  <si>
    <t>F1122</t>
  </si>
  <si>
    <t>P80709</t>
  </si>
  <si>
    <t>F1123</t>
  </si>
  <si>
    <t>P22483</t>
  </si>
  <si>
    <t>F1124</t>
  </si>
  <si>
    <t>P29433</t>
  </si>
  <si>
    <t>F1126</t>
  </si>
  <si>
    <t>P63392</t>
  </si>
  <si>
    <t>F1127</t>
  </si>
  <si>
    <t>P24186</t>
  </si>
  <si>
    <t>F1128</t>
  </si>
  <si>
    <t>P12075</t>
  </si>
  <si>
    <t>F1129</t>
  </si>
  <si>
    <t>P36565</t>
  </si>
  <si>
    <t>F1130</t>
  </si>
  <si>
    <t>P17033</t>
  </si>
  <si>
    <t>F1131</t>
  </si>
  <si>
    <t>P53406</t>
  </si>
  <si>
    <t>F1132</t>
  </si>
  <si>
    <t>P74577</t>
  </si>
  <si>
    <t>F1133</t>
  </si>
  <si>
    <t>P54686</t>
  </si>
  <si>
    <t>F1134</t>
  </si>
  <si>
    <t>P15042</t>
  </si>
  <si>
    <t>F1135</t>
  </si>
  <si>
    <t>P66658</t>
  </si>
  <si>
    <t>F1136</t>
  </si>
  <si>
    <t>P46158</t>
  </si>
  <si>
    <t>F1137</t>
  </si>
  <si>
    <t>P47910</t>
  </si>
  <si>
    <t>F1138</t>
  </si>
  <si>
    <t>P69894</t>
  </si>
  <si>
    <t>F1139</t>
  </si>
  <si>
    <t>P86247</t>
  </si>
  <si>
    <t>F1140</t>
  </si>
  <si>
    <t>P31668</t>
  </si>
  <si>
    <t>F1141</t>
  </si>
  <si>
    <t>P42193</t>
  </si>
  <si>
    <t>F1142</t>
  </si>
  <si>
    <t>P29032</t>
  </si>
  <si>
    <t>F1143</t>
  </si>
  <si>
    <t>P72811</t>
  </si>
  <si>
    <t>F1144</t>
  </si>
  <si>
    <t>P96259</t>
  </si>
  <si>
    <t>F1145</t>
  </si>
  <si>
    <t>P44251</t>
  </si>
  <si>
    <t>F1146</t>
  </si>
  <si>
    <t>P16884</t>
  </si>
  <si>
    <t>F1147</t>
  </si>
  <si>
    <t>P81817</t>
  </si>
  <si>
    <t>F1148</t>
  </si>
  <si>
    <t>P77843</t>
  </si>
  <si>
    <t>F1149</t>
  </si>
  <si>
    <t>P57937</t>
  </si>
  <si>
    <t>F1150</t>
  </si>
  <si>
    <t>P82099</t>
  </si>
  <si>
    <t>F1151</t>
  </si>
  <si>
    <t>P94085</t>
  </si>
  <si>
    <t>F1152</t>
  </si>
  <si>
    <t>P50596</t>
  </si>
  <si>
    <t>F1153</t>
  </si>
  <si>
    <t>P52297</t>
  </si>
  <si>
    <t>F1154</t>
  </si>
  <si>
    <t>P69830</t>
  </si>
  <si>
    <t>F1155</t>
  </si>
  <si>
    <t>P95953</t>
  </si>
  <si>
    <t>F1156</t>
  </si>
  <si>
    <t>P84949</t>
  </si>
  <si>
    <t>F1157</t>
  </si>
  <si>
    <t>P53519</t>
  </si>
  <si>
    <t>F1158</t>
  </si>
  <si>
    <t>P38037</t>
  </si>
  <si>
    <t>F1159</t>
  </si>
  <si>
    <t>P28397</t>
  </si>
  <si>
    <t>F1160</t>
  </si>
  <si>
    <t>P41694</t>
  </si>
  <si>
    <t>F1161</t>
  </si>
  <si>
    <t>P86657</t>
  </si>
  <si>
    <t>F1162</t>
  </si>
  <si>
    <t>P87617</t>
  </si>
  <si>
    <t>F1163</t>
  </si>
  <si>
    <t>P28106</t>
  </si>
  <si>
    <t>F1164</t>
  </si>
  <si>
    <t>P81675</t>
  </si>
  <si>
    <t>F1165</t>
  </si>
  <si>
    <t>P42541</t>
  </si>
  <si>
    <t>F1166</t>
  </si>
  <si>
    <t>P90961</t>
  </si>
  <si>
    <t>F1167</t>
  </si>
  <si>
    <t>P89375</t>
  </si>
  <si>
    <t>F1168</t>
  </si>
  <si>
    <t>P50132</t>
  </si>
  <si>
    <t>F1169</t>
  </si>
  <si>
    <t>P32413</t>
  </si>
  <si>
    <t>F1170</t>
  </si>
  <si>
    <t>P22184</t>
  </si>
  <si>
    <t>F1171</t>
  </si>
  <si>
    <t>P50298</t>
  </si>
  <si>
    <t>F1172</t>
  </si>
  <si>
    <t>P36715</t>
  </si>
  <si>
    <t>F1173</t>
  </si>
  <si>
    <t>P88279</t>
  </si>
  <si>
    <t>F1174</t>
  </si>
  <si>
    <t>P55468</t>
  </si>
  <si>
    <t>F1175</t>
  </si>
  <si>
    <t>P22511</t>
  </si>
  <si>
    <t>F1176</t>
  </si>
  <si>
    <t>P95021</t>
  </si>
  <si>
    <t>F1177</t>
  </si>
  <si>
    <t>P43786</t>
  </si>
  <si>
    <t>F1178</t>
  </si>
  <si>
    <t>P18635</t>
  </si>
  <si>
    <t>F1179</t>
  </si>
  <si>
    <t>P28088</t>
  </si>
  <si>
    <t>F1180</t>
  </si>
  <si>
    <t>P88045</t>
  </si>
  <si>
    <t>F1181</t>
  </si>
  <si>
    <t>P95964</t>
  </si>
  <si>
    <t>F1182</t>
  </si>
  <si>
    <t>P32057</t>
  </si>
  <si>
    <t>F1183</t>
  </si>
  <si>
    <t>P32295</t>
  </si>
  <si>
    <t>F1184</t>
  </si>
  <si>
    <t>P40762</t>
  </si>
  <si>
    <t>F1185</t>
  </si>
  <si>
    <t>P86619</t>
  </si>
  <si>
    <t>F1186</t>
  </si>
  <si>
    <t>P13916</t>
  </si>
  <si>
    <t>F1187</t>
  </si>
  <si>
    <t>P90601</t>
  </si>
  <si>
    <t>F1188</t>
  </si>
  <si>
    <t>P22337</t>
  </si>
  <si>
    <t>F1189</t>
  </si>
  <si>
    <t>P60677</t>
  </si>
  <si>
    <t>F1190</t>
  </si>
  <si>
    <t>P75831</t>
  </si>
  <si>
    <t>F1191</t>
  </si>
  <si>
    <t>P68253</t>
  </si>
  <si>
    <t>F1192</t>
  </si>
  <si>
    <t>P14650</t>
  </si>
  <si>
    <t>F1193</t>
  </si>
  <si>
    <t>P15250</t>
  </si>
  <si>
    <t>F1194</t>
  </si>
  <si>
    <t>P10797</t>
  </si>
  <si>
    <t>F1195</t>
  </si>
  <si>
    <t>P30694</t>
  </si>
  <si>
    <t>F1196</t>
  </si>
  <si>
    <t>P59755</t>
  </si>
  <si>
    <t>F1197</t>
  </si>
  <si>
    <t>P80770</t>
  </si>
  <si>
    <t>F1198</t>
  </si>
  <si>
    <t>P67482</t>
  </si>
  <si>
    <t>F1199</t>
  </si>
  <si>
    <t>P13204</t>
  </si>
  <si>
    <t>AppointmentID</t>
  </si>
  <si>
    <t>DoctorID</t>
  </si>
  <si>
    <t>Date</t>
  </si>
  <si>
    <t>Time</t>
  </si>
  <si>
    <t>Status</t>
  </si>
  <si>
    <t>D26</t>
  </si>
  <si>
    <t>A7515</t>
  </si>
  <si>
    <t>D1</t>
  </si>
  <si>
    <t>No Show</t>
  </si>
  <si>
    <t>A7537</t>
  </si>
  <si>
    <t>D30</t>
  </si>
  <si>
    <t>Completed</t>
  </si>
  <si>
    <t>A8866</t>
  </si>
  <si>
    <t>Rescheduled</t>
  </si>
  <si>
    <t>A3039</t>
  </si>
  <si>
    <t>D23</t>
  </si>
  <si>
    <t>Cancelled</t>
  </si>
  <si>
    <t>A3237</t>
  </si>
  <si>
    <t>A8127</t>
  </si>
  <si>
    <t>D24</t>
  </si>
  <si>
    <t>A7025</t>
  </si>
  <si>
    <t>D10</t>
  </si>
  <si>
    <t>A8462</t>
  </si>
  <si>
    <t>D8</t>
  </si>
  <si>
    <t>A9018</t>
  </si>
  <si>
    <t>D14</t>
  </si>
  <si>
    <t>A7791</t>
  </si>
  <si>
    <t>D28</t>
  </si>
  <si>
    <t>A4362</t>
  </si>
  <si>
    <t>D5</t>
  </si>
  <si>
    <t>A1132</t>
  </si>
  <si>
    <t>A6499</t>
  </si>
  <si>
    <t>D6</t>
  </si>
  <si>
    <t>A2196</t>
  </si>
  <si>
    <t>A7135</t>
  </si>
  <si>
    <t>A8788</t>
  </si>
  <si>
    <t>A1284</t>
  </si>
  <si>
    <t>A7527</t>
  </si>
  <si>
    <t>D29</t>
  </si>
  <si>
    <t>A5514</t>
  </si>
  <si>
    <t>D15</t>
  </si>
  <si>
    <t>A4853</t>
  </si>
  <si>
    <t>D11</t>
  </si>
  <si>
    <t>A4504</t>
  </si>
  <si>
    <t>A2106</t>
  </si>
  <si>
    <t>D25</t>
  </si>
  <si>
    <t>D20</t>
  </si>
  <si>
    <t>A6156</t>
  </si>
  <si>
    <t>A2963</t>
  </si>
  <si>
    <t>D13</t>
  </si>
  <si>
    <t>A1511</t>
  </si>
  <si>
    <t>D27</t>
  </si>
  <si>
    <t>A1949</t>
  </si>
  <si>
    <t>A9088</t>
  </si>
  <si>
    <t>D7</t>
  </si>
  <si>
    <t>A1384</t>
  </si>
  <si>
    <t>A4140</t>
  </si>
  <si>
    <t>D17</t>
  </si>
  <si>
    <t>A6170</t>
  </si>
  <si>
    <t>A5704</t>
  </si>
  <si>
    <t>D12</t>
  </si>
  <si>
    <t>A1762</t>
  </si>
  <si>
    <t>A3377</t>
  </si>
  <si>
    <t>A7484</t>
  </si>
  <si>
    <t>A7950</t>
  </si>
  <si>
    <t>A4062</t>
  </si>
  <si>
    <t>A7608</t>
  </si>
  <si>
    <t>A6966</t>
  </si>
  <si>
    <t>D9</t>
  </si>
  <si>
    <t>A8149</t>
  </si>
  <si>
    <t>D22</t>
  </si>
  <si>
    <t>A8665</t>
  </si>
  <si>
    <t>D16</t>
  </si>
  <si>
    <t>A6187</t>
  </si>
  <si>
    <t>D19</t>
  </si>
  <si>
    <t>A9961</t>
  </si>
  <si>
    <t>A2974</t>
  </si>
  <si>
    <t>A5835</t>
  </si>
  <si>
    <t>D4</t>
  </si>
  <si>
    <t>A6947</t>
  </si>
  <si>
    <t>A1148</t>
  </si>
  <si>
    <t>A9073</t>
  </si>
  <si>
    <t>A6922</t>
  </si>
  <si>
    <t>A9724</t>
  </si>
  <si>
    <t>A7514</t>
  </si>
  <si>
    <t>A9602</t>
  </si>
  <si>
    <t>A3495</t>
  </si>
  <si>
    <t>D3</t>
  </si>
  <si>
    <t>A9488</t>
  </si>
  <si>
    <t>A5762</t>
  </si>
  <si>
    <t>A8076</t>
  </si>
  <si>
    <t>A9964</t>
  </si>
  <si>
    <t>A8328</t>
  </si>
  <si>
    <t>A3096</t>
  </si>
  <si>
    <t>A5851</t>
  </si>
  <si>
    <t>A9029</t>
  </si>
  <si>
    <t>D2</t>
  </si>
  <si>
    <t>A5016</t>
  </si>
  <si>
    <t>A8410</t>
  </si>
  <si>
    <t>A6602</t>
  </si>
  <si>
    <t>A4630</t>
  </si>
  <si>
    <t>A7337</t>
  </si>
  <si>
    <t>A6960</t>
  </si>
  <si>
    <t>A6763</t>
  </si>
  <si>
    <t>A2399</t>
  </si>
  <si>
    <t>A7962</t>
  </si>
  <si>
    <t>A2839</t>
  </si>
  <si>
    <t>A4322</t>
  </si>
  <si>
    <t>A4269</t>
  </si>
  <si>
    <t>A2273</t>
  </si>
  <si>
    <t>A5011</t>
  </si>
  <si>
    <t>A1280</t>
  </si>
  <si>
    <t>A4434</t>
  </si>
  <si>
    <t>A5929</t>
  </si>
  <si>
    <t>A1107</t>
  </si>
  <si>
    <t>D18</t>
  </si>
  <si>
    <t>A8154</t>
  </si>
  <si>
    <t>A3997</t>
  </si>
  <si>
    <t>A1887</t>
  </si>
  <si>
    <t>A2811</t>
  </si>
  <si>
    <t>A7866</t>
  </si>
  <si>
    <t>A4066</t>
  </si>
  <si>
    <t>A1698</t>
  </si>
  <si>
    <t>A9430</t>
  </si>
  <si>
    <t>A4495</t>
  </si>
  <si>
    <t>A3333</t>
  </si>
  <si>
    <t>A5600</t>
  </si>
  <si>
    <t>A4561</t>
  </si>
  <si>
    <t>A1739</t>
  </si>
  <si>
    <t>A2109</t>
  </si>
  <si>
    <t>D21</t>
  </si>
  <si>
    <t>A1157</t>
  </si>
  <si>
    <t>A6884</t>
  </si>
  <si>
    <t>A4146</t>
  </si>
  <si>
    <t>A3067</t>
  </si>
  <si>
    <t>A4312</t>
  </si>
  <si>
    <t>A8481</t>
  </si>
  <si>
    <t>A8951</t>
  </si>
  <si>
    <t>A6060</t>
  </si>
  <si>
    <t>A9814</t>
  </si>
  <si>
    <t>A9209</t>
  </si>
  <si>
    <t>A4611</t>
  </si>
  <si>
    <t>A9807</t>
  </si>
  <si>
    <t>A1390</t>
  </si>
  <si>
    <t>A8552</t>
  </si>
  <si>
    <t>A2077</t>
  </si>
  <si>
    <t>A4393</t>
  </si>
  <si>
    <t>A9429</t>
  </si>
  <si>
    <t>A9519</t>
  </si>
  <si>
    <t>A3483</t>
  </si>
  <si>
    <t>A9319</t>
  </si>
  <si>
    <t>A7880</t>
  </si>
  <si>
    <t>A8498</t>
  </si>
  <si>
    <t>A6824</t>
  </si>
  <si>
    <t>A1087</t>
  </si>
  <si>
    <t>A4414</t>
  </si>
  <si>
    <t>A3515</t>
  </si>
  <si>
    <t>P81174</t>
  </si>
  <si>
    <t>A2655</t>
  </si>
  <si>
    <t>A3613</t>
  </si>
  <si>
    <t>A8377</t>
  </si>
  <si>
    <t>A6529</t>
  </si>
  <si>
    <t>A2906</t>
  </si>
  <si>
    <t>A2994</t>
  </si>
  <si>
    <t>A6194</t>
  </si>
  <si>
    <t>A5675</t>
  </si>
  <si>
    <t>A7625</t>
  </si>
  <si>
    <t>A2478</t>
  </si>
  <si>
    <t>A3419</t>
  </si>
  <si>
    <t>A8571</t>
  </si>
  <si>
    <t>A5158</t>
  </si>
  <si>
    <t>A9474</t>
  </si>
  <si>
    <t>A3302</t>
  </si>
  <si>
    <t>A8884</t>
  </si>
  <si>
    <t>A4568</t>
  </si>
  <si>
    <t>A4659</t>
  </si>
  <si>
    <t>A2509</t>
  </si>
  <si>
    <t>A5133</t>
  </si>
  <si>
    <t>A5428</t>
  </si>
  <si>
    <t>A6482</t>
  </si>
  <si>
    <t>A3214</t>
  </si>
  <si>
    <t>A9946</t>
  </si>
  <si>
    <t>A1914</t>
  </si>
  <si>
    <t>A8524</t>
  </si>
  <si>
    <t>A2924</t>
  </si>
  <si>
    <t>A7356</t>
  </si>
  <si>
    <t>A3207</t>
  </si>
  <si>
    <t>A8095</t>
  </si>
  <si>
    <t>A8676</t>
  </si>
  <si>
    <t>A6110</t>
  </si>
  <si>
    <t>A9091</t>
  </si>
  <si>
    <t>A7078</t>
  </si>
  <si>
    <t>A6318</t>
  </si>
  <si>
    <t>A2447</t>
  </si>
  <si>
    <t>A7151</t>
  </si>
  <si>
    <t>A9386</t>
  </si>
  <si>
    <t>A2462</t>
  </si>
  <si>
    <t>A1120</t>
  </si>
  <si>
    <t>A2187</t>
  </si>
  <si>
    <t>A8535</t>
  </si>
  <si>
    <t>A1625</t>
  </si>
  <si>
    <t>A9986</t>
  </si>
  <si>
    <t>A6445</t>
  </si>
  <si>
    <t>A8557</t>
  </si>
  <si>
    <t>A2482</t>
  </si>
  <si>
    <t>A6526</t>
  </si>
  <si>
    <t>A6440</t>
  </si>
  <si>
    <t>A6172</t>
  </si>
  <si>
    <t>A3589</t>
  </si>
  <si>
    <t>A4019</t>
  </si>
  <si>
    <t>A3259</t>
  </si>
  <si>
    <t>A6695</t>
  </si>
  <si>
    <t>A2197</t>
  </si>
  <si>
    <t>A9356</t>
  </si>
  <si>
    <t>A9238</t>
  </si>
  <si>
    <t>A6497</t>
  </si>
  <si>
    <t>A2454</t>
  </si>
  <si>
    <t>A7982</t>
  </si>
  <si>
    <t>A6772</t>
  </si>
  <si>
    <t>A5366</t>
  </si>
  <si>
    <t>A6174</t>
  </si>
  <si>
    <t>A6971</t>
  </si>
  <si>
    <t>A7748</t>
  </si>
  <si>
    <t>A7444</t>
  </si>
  <si>
    <t>A9632</t>
  </si>
  <si>
    <t>A1765</t>
  </si>
  <si>
    <t>A3732</t>
  </si>
  <si>
    <t>A5220</t>
  </si>
  <si>
    <t>A5292</t>
  </si>
  <si>
    <t>ResourceID</t>
  </si>
  <si>
    <t>ResourceType</t>
  </si>
  <si>
    <t>UsageHours</t>
  </si>
  <si>
    <t>Availability</t>
  </si>
  <si>
    <t>R5487</t>
  </si>
  <si>
    <t>Nurse</t>
  </si>
  <si>
    <t>Unavailable</t>
  </si>
  <si>
    <t>R8097</t>
  </si>
  <si>
    <t>Doctor</t>
  </si>
  <si>
    <t>R2557</t>
  </si>
  <si>
    <t>Room</t>
  </si>
  <si>
    <t>Under Maintenance</t>
  </si>
  <si>
    <t>R9024</t>
  </si>
  <si>
    <t>R9181</t>
  </si>
  <si>
    <t>Available</t>
  </si>
  <si>
    <t>R2629</t>
  </si>
  <si>
    <t>R1317</t>
  </si>
  <si>
    <t>R9640</t>
  </si>
  <si>
    <t>R1787</t>
  </si>
  <si>
    <t>R9426</t>
  </si>
  <si>
    <t>Technician</t>
  </si>
  <si>
    <t>R1606</t>
  </si>
  <si>
    <t>R3242</t>
  </si>
  <si>
    <t>R6893</t>
  </si>
  <si>
    <t>R3237</t>
  </si>
  <si>
    <t>R5274</t>
  </si>
  <si>
    <t>R1039</t>
  </si>
  <si>
    <t>R5597</t>
  </si>
  <si>
    <t>R2939</t>
  </si>
  <si>
    <t>R8840</t>
  </si>
  <si>
    <t>R5074</t>
  </si>
  <si>
    <t>In Use</t>
  </si>
  <si>
    <t>R3855</t>
  </si>
  <si>
    <t>R8405</t>
  </si>
  <si>
    <t>R5984</t>
  </si>
  <si>
    <t>Equipment</t>
  </si>
  <si>
    <t>R6968</t>
  </si>
  <si>
    <t>R7116</t>
  </si>
  <si>
    <t>R4399</t>
  </si>
  <si>
    <t>R6261</t>
  </si>
  <si>
    <t>R9923</t>
  </si>
  <si>
    <t>R6097</t>
  </si>
  <si>
    <t>R1624</t>
  </si>
  <si>
    <t>R6385</t>
  </si>
  <si>
    <t>R2625</t>
  </si>
  <si>
    <t>R3097</t>
  </si>
  <si>
    <t>R5532</t>
  </si>
  <si>
    <t>R8648</t>
  </si>
  <si>
    <t>R6744</t>
  </si>
  <si>
    <t>R6436</t>
  </si>
  <si>
    <t>R4593</t>
  </si>
  <si>
    <t>R7325</t>
  </si>
  <si>
    <t>R7808</t>
  </si>
  <si>
    <t>R5805</t>
  </si>
  <si>
    <t>R3667</t>
  </si>
  <si>
    <t>R2833</t>
  </si>
  <si>
    <t>R5799</t>
  </si>
  <si>
    <t>R2825</t>
  </si>
  <si>
    <t>R5252</t>
  </si>
  <si>
    <t>R7354</t>
  </si>
  <si>
    <t>R2717</t>
  </si>
  <si>
    <t>R3782</t>
  </si>
  <si>
    <t>R1276</t>
  </si>
  <si>
    <t>R2832</t>
  </si>
  <si>
    <t>R7226</t>
  </si>
  <si>
    <t>R3607</t>
  </si>
  <si>
    <t>R9177</t>
  </si>
  <si>
    <t>R1427</t>
  </si>
  <si>
    <t>R1381</t>
  </si>
  <si>
    <t>R6613</t>
  </si>
  <si>
    <t>R7395</t>
  </si>
  <si>
    <t>R8110</t>
  </si>
  <si>
    <t>R5282</t>
  </si>
  <si>
    <t>R6766</t>
  </si>
  <si>
    <t>R5926</t>
  </si>
  <si>
    <t>R5415</t>
  </si>
  <si>
    <t>R3528</t>
  </si>
  <si>
    <t>R9442</t>
  </si>
  <si>
    <t>R9566</t>
  </si>
  <si>
    <t>R8012</t>
  </si>
  <si>
    <t>R4883</t>
  </si>
  <si>
    <t>R2401</t>
  </si>
  <si>
    <t>R7211</t>
  </si>
  <si>
    <t>R9738</t>
  </si>
  <si>
    <t>R1429</t>
  </si>
  <si>
    <t>R7486</t>
  </si>
  <si>
    <t>R2221</t>
  </si>
  <si>
    <t>R8679</t>
  </si>
  <si>
    <t>R7880</t>
  </si>
  <si>
    <t>R9173</t>
  </si>
  <si>
    <t>R8674</t>
  </si>
  <si>
    <t>R3194</t>
  </si>
  <si>
    <t>R8628</t>
  </si>
  <si>
    <t>R8103</t>
  </si>
  <si>
    <t>R4911</t>
  </si>
  <si>
    <t>R8724</t>
  </si>
  <si>
    <t>R3152</t>
  </si>
  <si>
    <t>R8641</t>
  </si>
  <si>
    <t>R4369</t>
  </si>
  <si>
    <t>R2354</t>
  </si>
  <si>
    <t>R9147</t>
  </si>
  <si>
    <t>R8105</t>
  </si>
  <si>
    <t>R9167</t>
  </si>
  <si>
    <t>R3746</t>
  </si>
  <si>
    <t>R9081</t>
  </si>
  <si>
    <t>R1794</t>
  </si>
  <si>
    <t>R7782</t>
  </si>
  <si>
    <t>R7818</t>
  </si>
  <si>
    <t>R6399</t>
  </si>
  <si>
    <t>R4520</t>
  </si>
  <si>
    <t>R7243</t>
  </si>
  <si>
    <t>R5582</t>
  </si>
  <si>
    <t>R4033</t>
  </si>
  <si>
    <t>R2577</t>
  </si>
  <si>
    <t>R4743</t>
  </si>
  <si>
    <t>R3325</t>
  </si>
  <si>
    <t>R1133</t>
  </si>
  <si>
    <t>R2734</t>
  </si>
  <si>
    <t>R4411</t>
  </si>
  <si>
    <t>R4657</t>
  </si>
  <si>
    <t>R5595</t>
  </si>
  <si>
    <t>R3368</t>
  </si>
  <si>
    <t>R3590</t>
  </si>
  <si>
    <t>R1636</t>
  </si>
  <si>
    <t>R1419</t>
  </si>
  <si>
    <t>R7729</t>
  </si>
  <si>
    <t>R7577</t>
  </si>
  <si>
    <t>R3762</t>
  </si>
  <si>
    <t>R6690</t>
  </si>
  <si>
    <t>R3388</t>
  </si>
  <si>
    <t>R4334</t>
  </si>
  <si>
    <t>R7162</t>
  </si>
  <si>
    <t>R4580</t>
  </si>
  <si>
    <t>R3442</t>
  </si>
  <si>
    <t>R1998</t>
  </si>
  <si>
    <t>R3393</t>
  </si>
  <si>
    <t>R2004</t>
  </si>
  <si>
    <t>R3795</t>
  </si>
  <si>
    <t>R5550</t>
  </si>
  <si>
    <t>R1369</t>
  </si>
  <si>
    <t>R9210</t>
  </si>
  <si>
    <t>R7907</t>
  </si>
  <si>
    <t>R5061</t>
  </si>
  <si>
    <t>R3257</t>
  </si>
  <si>
    <t>R6179</t>
  </si>
  <si>
    <t>R2158</t>
  </si>
  <si>
    <t>R4245</t>
  </si>
  <si>
    <t>R3900</t>
  </si>
  <si>
    <t>R8250</t>
  </si>
  <si>
    <t>R7871</t>
  </si>
  <si>
    <t>R8375</t>
  </si>
  <si>
    <t>R6418</t>
  </si>
  <si>
    <t>R6093</t>
  </si>
  <si>
    <t>R3410</t>
  </si>
  <si>
    <t>R2697</t>
  </si>
  <si>
    <t>R5378</t>
  </si>
  <si>
    <t>R3296</t>
  </si>
  <si>
    <t>R1892</t>
  </si>
  <si>
    <t>R8443</t>
  </si>
  <si>
    <t>R6719</t>
  </si>
  <si>
    <t>R1525</t>
  </si>
  <si>
    <t>R2602</t>
  </si>
  <si>
    <t>R2439</t>
  </si>
  <si>
    <t>R4120</t>
  </si>
  <si>
    <t>R6450</t>
  </si>
  <si>
    <t>R3212</t>
  </si>
  <si>
    <t>R3470</t>
  </si>
  <si>
    <t>R4198</t>
  </si>
  <si>
    <t>R6653</t>
  </si>
  <si>
    <t>R9325</t>
  </si>
  <si>
    <t>R5653</t>
  </si>
  <si>
    <t>R9221</t>
  </si>
  <si>
    <t>R4576</t>
  </si>
  <si>
    <t>R5250</t>
  </si>
  <si>
    <t>R9942</t>
  </si>
  <si>
    <t>R9637</t>
  </si>
  <si>
    <t>R6571</t>
  </si>
  <si>
    <t>R8275</t>
  </si>
  <si>
    <t>R3024</t>
  </si>
  <si>
    <t>R9407</t>
  </si>
  <si>
    <t>R4375</t>
  </si>
  <si>
    <t>R4311</t>
  </si>
  <si>
    <t>R6892</t>
  </si>
  <si>
    <t>R5035</t>
  </si>
  <si>
    <t>R8869</t>
  </si>
  <si>
    <t>R1032</t>
  </si>
  <si>
    <t>R7483</t>
  </si>
  <si>
    <t>R7873</t>
  </si>
  <si>
    <t>R5286</t>
  </si>
  <si>
    <t>R6508</t>
  </si>
  <si>
    <t>R7949</t>
  </si>
  <si>
    <t>R9477</t>
  </si>
  <si>
    <t>R4395</t>
  </si>
  <si>
    <t>R3146</t>
  </si>
  <si>
    <t>R2220</t>
  </si>
  <si>
    <t>R7334</t>
  </si>
  <si>
    <t>R1597</t>
  </si>
  <si>
    <t>R3553</t>
  </si>
  <si>
    <t>R3833</t>
  </si>
  <si>
    <t>R7417</t>
  </si>
  <si>
    <t>R3526</t>
  </si>
  <si>
    <t>R5504</t>
  </si>
  <si>
    <t>R8032</t>
  </si>
  <si>
    <t>R2554</t>
  </si>
  <si>
    <t>R9553</t>
  </si>
  <si>
    <t>R1385</t>
  </si>
  <si>
    <t>R8161</t>
  </si>
  <si>
    <t>R5806</t>
  </si>
  <si>
    <t>R1560</t>
  </si>
  <si>
    <t>R3933</t>
  </si>
  <si>
    <t>N/A</t>
  </si>
  <si>
    <t>Satisfaction Level</t>
  </si>
  <si>
    <t>Row Labels</t>
  </si>
  <si>
    <t>Grand Total</t>
  </si>
  <si>
    <t>Average of UsageHours</t>
  </si>
  <si>
    <t>Column Labels</t>
  </si>
  <si>
    <t>Count of AppointmentID</t>
  </si>
  <si>
    <t>Low</t>
  </si>
  <si>
    <t>High</t>
  </si>
  <si>
    <t>Average of Feedback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</si>
</sst>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hh:mm\ AM/PM;@"/>
    <numFmt numFmtId="168" formatCode="[$-14009]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64" fontId="0" fillId="0" borderId="0" xfId="0" applyNumberForma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19"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160020</xdr:rowOff>
    </xdr:from>
    <xdr:to>
      <xdr:col>6</xdr:col>
      <xdr:colOff>0</xdr:colOff>
      <xdr:row>15</xdr:row>
      <xdr:rowOff>66675</xdr:rowOff>
    </xdr:to>
    <mc:AlternateContent xmlns:mc="http://schemas.openxmlformats.org/markup-compatibility/2006">
      <mc:Choice xmlns:a14="http://schemas.microsoft.com/office/drawing/2010/main" Requires="a14">
        <xdr:graphicFrame macro="">
          <xdr:nvGraphicFramePr>
            <xdr:cNvPr id="2" name="ResourceType">
              <a:extLst>
                <a:ext uri="{FF2B5EF4-FFF2-40B4-BE49-F238E27FC236}">
                  <a16:creationId xmlns:a16="http://schemas.microsoft.com/office/drawing/2014/main" id="{D4DCBDFC-384F-1DAC-D8DB-5EA333087FD4}"/>
                </a:ext>
              </a:extLst>
            </xdr:cNvPr>
            <xdr:cNvGraphicFramePr/>
          </xdr:nvGraphicFramePr>
          <xdr:xfrm>
            <a:off x="0" y="0"/>
            <a:ext cx="0" cy="0"/>
          </xdr:xfrm>
          <a:graphic>
            <a:graphicData uri="http://schemas.microsoft.com/office/drawing/2010/slicer">
              <sle:slicer xmlns:sle="http://schemas.microsoft.com/office/drawing/2010/slicer" name="ResourceType"/>
            </a:graphicData>
          </a:graphic>
        </xdr:graphicFrame>
      </mc:Choice>
      <mc:Fallback>
        <xdr:sp macro="" textlink="">
          <xdr:nvSpPr>
            <xdr:cNvPr id="0" name=""/>
            <xdr:cNvSpPr>
              <a:spLocks noTextEdit="1"/>
            </xdr:cNvSpPr>
          </xdr:nvSpPr>
          <xdr:spPr>
            <a:xfrm>
              <a:off x="308610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121920</xdr:colOff>
      <xdr:row>0</xdr:row>
      <xdr:rowOff>60960</xdr:rowOff>
    </xdr:from>
    <xdr:to>
      <xdr:col>12</xdr:col>
      <xdr:colOff>91440</xdr:colOff>
      <xdr:row>13</xdr:row>
      <xdr:rowOff>150495</xdr:rowOff>
    </xdr:to>
    <mc:AlternateContent xmlns:mc="http://schemas.openxmlformats.org/markup-compatibility/2006">
      <mc:Choice xmlns:a14="http://schemas.microsoft.com/office/drawing/2010/main" Requires="a14">
        <xdr:graphicFrame macro="">
          <xdr:nvGraphicFramePr>
            <xdr:cNvPr id="2" name="DoctorID">
              <a:extLst>
                <a:ext uri="{FF2B5EF4-FFF2-40B4-BE49-F238E27FC236}">
                  <a16:creationId xmlns:a16="http://schemas.microsoft.com/office/drawing/2014/main" id="{AAD67E56-54E1-0E93-1A03-58DEC6A8E658}"/>
                </a:ext>
              </a:extLst>
            </xdr:cNvPr>
            <xdr:cNvGraphicFramePr/>
          </xdr:nvGraphicFramePr>
          <xdr:xfrm>
            <a:off x="0" y="0"/>
            <a:ext cx="0" cy="0"/>
          </xdr:xfrm>
          <a:graphic>
            <a:graphicData uri="http://schemas.microsoft.com/office/drawing/2010/slicer">
              <sle:slicer xmlns:sle="http://schemas.microsoft.com/office/drawing/2010/slicer" name="DoctorID"/>
            </a:graphicData>
          </a:graphic>
        </xdr:graphicFrame>
      </mc:Choice>
      <mc:Fallback>
        <xdr:sp macro="" textlink="">
          <xdr:nvSpPr>
            <xdr:cNvPr id="0" name=""/>
            <xdr:cNvSpPr>
              <a:spLocks noTextEdit="1"/>
            </xdr:cNvSpPr>
          </xdr:nvSpPr>
          <xdr:spPr>
            <a:xfrm>
              <a:off x="7459980" y="60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Sharma" refreshedDate="46143.756405324071" createdVersion="8" refreshedVersion="8" minRefreshableVersion="3" recordCount="200" xr:uid="{C6A30D18-544C-450B-BF44-319B04925FA5}">
  <cacheSource type="worksheet">
    <worksheetSource ref="A1:F201" sheet="resource_data"/>
  </cacheSource>
  <cacheFields count="6">
    <cacheField name="ResourceID" numFmtId="0">
      <sharedItems/>
    </cacheField>
    <cacheField name="Department" numFmtId="0">
      <sharedItems count="7">
        <s v="Cardiology"/>
        <s v="Orthopedics"/>
        <s v="General Medicine"/>
        <s v="Neurology"/>
        <s v="N/A"/>
        <s v="Oncology"/>
        <s v="Pediatric"/>
      </sharedItems>
    </cacheField>
    <cacheField name="ResourceType" numFmtId="0">
      <sharedItems count="6">
        <s v="Nurse"/>
        <s v="Doctor"/>
        <s v="Room"/>
        <s v="Technician"/>
        <s v="N/A"/>
        <s v="Equipment"/>
      </sharedItems>
    </cacheField>
    <cacheField name="UsageHours" numFmtId="0">
      <sharedItems containsSemiMixedTypes="0" containsString="0" containsNumber="1" containsInteger="1" minValue="0" maxValue="9"/>
    </cacheField>
    <cacheField name="Date" numFmtId="0">
      <sharedItems containsDate="1" containsMixedTypes="1" minDate="2024-01-03T00:00:00" maxDate="2024-12-29T00:00:00"/>
    </cacheField>
    <cacheField name="Availability" numFmtId="0">
      <sharedItems/>
    </cacheField>
  </cacheFields>
  <extLst>
    <ext xmlns:x14="http://schemas.microsoft.com/office/spreadsheetml/2009/9/main" uri="{725AE2AE-9491-48be-B2B4-4EB974FC3084}">
      <x14:pivotCacheDefinition pivotCacheId="1864642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Sharma" refreshedDate="46143.75759050926" createdVersion="8" refreshedVersion="8" minRefreshableVersion="3" recordCount="200" xr:uid="{E3DF480A-F3EF-42A9-8946-C3A97AE07B94}">
  <cacheSource type="worksheet">
    <worksheetSource ref="A1:G201" sheet="appointment_data"/>
  </cacheSource>
  <cacheFields count="7">
    <cacheField name="PatientID" numFmtId="0">
      <sharedItems/>
    </cacheField>
    <cacheField name="AppointmentID" numFmtId="0">
      <sharedItems/>
    </cacheField>
    <cacheField name="DoctorID" numFmtId="0">
      <sharedItems count="31">
        <s v="D26"/>
        <s v="D1"/>
        <s v="D30"/>
        <s v="D23"/>
        <s v="D24"/>
        <s v="D10"/>
        <s v="D8"/>
        <s v="D14"/>
        <s v="D28"/>
        <s v="D5"/>
        <s v="D6"/>
        <s v="D29"/>
        <s v="D15"/>
        <s v="D11"/>
        <s v="D25"/>
        <s v="D20"/>
        <s v="D13"/>
        <s v="D27"/>
        <s v="D7"/>
        <s v="D17"/>
        <s v="D12"/>
        <s v="N/A"/>
        <s v="D9"/>
        <s v="D22"/>
        <s v="D16"/>
        <s v="D19"/>
        <s v="D4"/>
        <s v="D3"/>
        <s v="D2"/>
        <s v="D18"/>
        <s v="D21"/>
      </sharedItems>
    </cacheField>
    <cacheField name="Department" numFmtId="0">
      <sharedItems count="7">
        <s v="Cardiology"/>
        <s v="Orthopedics"/>
        <s v="General Medicine"/>
        <s v="Neurology"/>
        <s v="Pediatric"/>
        <s v="Oncology"/>
        <s v="N/A"/>
      </sharedItems>
    </cacheField>
    <cacheField name="Date" numFmtId="14">
      <sharedItems containsDate="1" containsMixedTypes="1" minDate="2024-01-01T00:00:00" maxDate="2024-12-29T00:00:00" count="154">
        <d v="2024-01-01T00:00:00"/>
        <d v="2024-09-10T00:00:00"/>
        <d v="2024-12-17T00:00:00"/>
        <d v="2024-07-09T00:00:00"/>
        <d v="2024-08-12T00:00:00"/>
        <d v="2024-03-06T00:00:00"/>
        <d v="2024-04-01T00:00:00"/>
        <d v="2024-10-16T00:00:00"/>
        <d v="2024-09-23T00:00:00"/>
        <d v="2024-04-13T00:00:00"/>
        <d v="2024-06-17T00:00:00"/>
        <d v="2024-08-15T00:00:00"/>
        <d v="2024-01-14T00:00:00"/>
        <d v="2024-02-22T00:00:00"/>
        <d v="2024-01-20T00:00:00"/>
        <d v="2024-10-24T00:00:00"/>
        <d v="2024-11-19T00:00:00"/>
        <d v="2024-08-17T00:00:00"/>
        <d v="2024-07-03T00:00:00"/>
        <d v="2024-12-26T00:00:00"/>
        <d v="2024-12-14T00:00:00"/>
        <d v="2024-12-09T00:00:00"/>
        <d v="2024-12-18T00:00:00"/>
        <d v="2024-12-15T00:00:00"/>
        <s v="N/A"/>
        <d v="2024-07-13T00:00:00"/>
        <d v="2024-01-31T00:00:00"/>
        <d v="2024-08-16T00:00:00"/>
        <d v="2024-11-26T00:00:00"/>
        <d v="2024-12-16T00:00:00"/>
        <d v="2024-04-02T00:00:00"/>
        <d v="2024-06-03T00:00:00"/>
        <d v="2024-12-20T00:00:00"/>
        <d v="2024-12-21T00:00:00"/>
        <d v="2024-05-04T00:00:00"/>
        <d v="2024-04-05T00:00:00"/>
        <d v="2024-03-21T00:00:00"/>
        <d v="2024-11-09T00:00:00"/>
        <d v="2024-03-27T00:00:00"/>
        <d v="2024-08-02T00:00:00"/>
        <d v="2024-08-03T00:00:00"/>
        <d v="2024-10-20T00:00:00"/>
        <d v="2024-01-22T00:00:00"/>
        <d v="2024-02-25T00:00:00"/>
        <d v="2024-06-23T00:00:00"/>
        <d v="2024-02-28T00:00:00"/>
        <d v="2024-10-25T00:00:00"/>
        <d v="2024-02-02T00:00:00"/>
        <d v="2024-12-04T00:00:00"/>
        <d v="2024-03-19T00:00:00"/>
        <d v="2024-03-11T00:00:00"/>
        <d v="2024-09-21T00:00:00"/>
        <d v="2024-09-16T00:00:00"/>
        <d v="2024-08-13T00:00:00"/>
        <d v="2024-11-27T00:00:00"/>
        <d v="2024-01-07T00:00:00"/>
        <d v="2024-12-22T00:00:00"/>
        <d v="2024-01-16T00:00:00"/>
        <d v="2024-11-21T00:00:00"/>
        <d v="2024-07-12T00:00:00"/>
        <d v="2024-04-28T00:00:00"/>
        <d v="2024-06-14T00:00:00"/>
        <d v="2024-04-25T00:00:00"/>
        <d v="2024-07-20T00:00:00"/>
        <d v="2024-04-10T00:00:00"/>
        <d v="2024-03-31T00:00:00"/>
        <d v="2024-12-25T00:00:00"/>
        <d v="2024-06-21T00:00:00"/>
        <d v="2024-07-31T00:00:00"/>
        <d v="2024-10-29T00:00:00"/>
        <d v="2024-11-18T00:00:00"/>
        <d v="2024-09-06T00:00:00"/>
        <d v="2024-05-28T00:00:00"/>
        <d v="2024-08-19T00:00:00"/>
        <d v="2024-08-30T00:00:00"/>
        <d v="2024-04-04T00:00:00"/>
        <d v="2024-06-25T00:00:00"/>
        <d v="2024-04-08T00:00:00"/>
        <d v="2024-12-28T00:00:00"/>
        <d v="2024-06-11T00:00:00"/>
        <d v="2024-06-06T00:00:00"/>
        <d v="2024-11-04T00:00:00"/>
        <d v="2024-04-07T00:00:00"/>
        <d v="2024-05-26T00:00:00"/>
        <d v="2024-05-16T00:00:00"/>
        <d v="2024-03-16T00:00:00"/>
        <d v="2024-08-25T00:00:00"/>
        <d v="2024-01-15T00:00:00"/>
        <d v="2024-11-22T00:00:00"/>
        <d v="2024-11-12T00:00:00"/>
        <d v="2024-04-22T00:00:00"/>
        <d v="2024-07-07T00:00:00"/>
        <d v="2024-06-01T00:00:00"/>
        <d v="2024-06-29T00:00:00"/>
        <d v="2024-01-12T00:00:00"/>
        <d v="2024-09-03T00:00:00"/>
        <d v="2024-07-18T00:00:00"/>
        <d v="2024-03-08T00:00:00"/>
        <d v="2024-03-28T00:00:00"/>
        <d v="2024-08-11T00:00:00"/>
        <d v="2024-05-11T00:00:00"/>
        <d v="2024-10-17T00:00:00"/>
        <d v="2024-09-08T00:00:00"/>
        <d v="2024-12-01T00:00:00"/>
        <d v="2024-10-03T00:00:00"/>
        <d v="2024-08-31T00:00:00"/>
        <d v="2024-09-02T00:00:00"/>
        <d v="2024-07-19T00:00:00"/>
        <d v="2024-07-29T00:00:00"/>
        <d v="2024-12-08T00:00:00"/>
        <d v="2024-06-22T00:00:00"/>
        <d v="2024-05-31T00:00:00"/>
        <d v="2024-01-27T00:00:00"/>
        <d v="2024-10-09T00:00:00"/>
        <d v="2024-04-24T00:00:00"/>
        <d v="2024-03-22T00:00:00"/>
        <d v="2024-11-17T00:00:00"/>
        <d v="2024-02-13T00:00:00"/>
        <d v="2024-06-05T00:00:00"/>
        <d v="2024-11-20T00:00:00"/>
        <d v="2024-11-23T00:00:00"/>
        <d v="2024-02-26T00:00:00"/>
        <d v="2024-02-03T00:00:00"/>
        <d v="2024-02-19T00:00:00"/>
        <d v="2024-09-30T00:00:00"/>
        <d v="2024-07-08T00:00:00"/>
        <d v="2024-07-01T00:00:00"/>
        <d v="2024-02-15T00:00:00"/>
        <d v="2024-04-23T00:00:00"/>
        <d v="2024-05-22T00:00:00"/>
        <d v="2024-07-28T00:00:00"/>
        <d v="2024-03-17T00:00:00"/>
        <d v="2024-03-03T00:00:00"/>
        <d v="2024-05-09T00:00:00"/>
        <d v="2024-05-25T00:00:00"/>
        <d v="2024-11-02T00:00:00"/>
        <d v="2024-02-21T00:00:00"/>
        <d v="2024-10-30T00:00:00"/>
        <d v="2024-03-07T00:00:00"/>
        <d v="2024-02-27T00:00:00"/>
        <d v="2024-07-10T00:00:00"/>
        <d v="2024-04-06T00:00:00"/>
        <d v="2024-01-03T00:00:00"/>
        <d v="2024-10-08T00:00:00"/>
        <d v="2024-01-28T00:00:00"/>
        <d v="2024-05-15T00:00:00"/>
        <d v="2024-06-12T00:00:00"/>
        <d v="2024-03-13T00:00:00"/>
        <d v="2024-05-23T00:00:00"/>
        <d v="2024-01-26T00:00:00"/>
        <d v="2024-08-23T00:00:00"/>
        <d v="2024-03-26T00:00:00"/>
        <d v="2024-12-19T00:00:00"/>
        <d v="2024-05-20T00:00:00"/>
      </sharedItems>
    </cacheField>
    <cacheField name="Time" numFmtId="164">
      <sharedItems containsDate="1" containsMixedTypes="1" minDate="1899-12-30T08:00:00" maxDate="1899-12-30T18:30:00" count="23">
        <s v="N/A"/>
        <d v="1899-12-30T13:00:00"/>
        <d v="1899-12-30T15:00:00"/>
        <d v="1899-12-30T15:30:00"/>
        <d v="1899-12-30T18:00:00"/>
        <d v="1899-12-30T17:30:00"/>
        <d v="1899-12-30T11:00:00"/>
        <d v="1899-12-30T13:30:00"/>
        <d v="1899-12-30T08:30:00"/>
        <d v="1899-12-30T08:00:00"/>
        <d v="1899-12-30T14:30:00"/>
        <d v="1899-12-30T16:00:00"/>
        <d v="1899-12-30T12:30:00"/>
        <d v="1899-12-30T09:30:00"/>
        <d v="1899-12-30T10:00:00"/>
        <d v="1899-12-30T18:30:00"/>
        <d v="1899-12-30T16:30:00"/>
        <d v="1899-12-30T17:00:00"/>
        <d v="1899-12-30T12:00:00"/>
        <d v="1899-12-30T09:00:00"/>
        <d v="1899-12-30T11:30:00"/>
        <d v="1899-12-30T14:00:00"/>
        <d v="1899-12-30T10:30:00"/>
      </sharedItems>
    </cacheField>
    <cacheField name="Status" numFmtId="0">
      <sharedItems/>
    </cacheField>
  </cacheFields>
  <extLst>
    <ext xmlns:x14="http://schemas.microsoft.com/office/spreadsheetml/2009/9/main" uri="{725AE2AE-9491-48be-B2B4-4EB974FC3084}">
      <x14:pivotCacheDefinition pivotCacheId="6678800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Sharma" refreshedDate="46143.759165509262" createdVersion="8" refreshedVersion="8" minRefreshableVersion="3" recordCount="199" xr:uid="{97A5745C-3484-46ED-B4E4-57EFAFE2A42E}">
  <cacheSource type="worksheet">
    <worksheetSource ref="A1:H200" sheet="combined_dataset"/>
  </cacheSource>
  <cacheFields count="8">
    <cacheField name="PatientID" numFmtId="0">
      <sharedItems/>
    </cacheField>
    <cacheField name="Date" numFmtId="168">
      <sharedItems containsDate="1" containsMixedTypes="1" minDate="2024-01-01T00:00:00" maxDate="2024-12-29T00:00:00" count="154">
        <d v="2024-01-01T00:00:00"/>
        <d v="2024-09-10T00:00:00"/>
        <d v="2024-12-17T00:00:00"/>
        <d v="2024-07-09T00:00:00"/>
        <d v="2024-08-12T00:00:00"/>
        <d v="2024-03-06T00:00:00"/>
        <d v="2024-04-01T00:00:00"/>
        <d v="2024-10-16T00:00:00"/>
        <d v="2024-09-23T00:00:00"/>
        <d v="2024-04-13T00:00:00"/>
        <d v="2024-06-17T00:00:00"/>
        <d v="2024-08-15T00:00:00"/>
        <d v="2024-01-14T00:00:00"/>
        <d v="2024-02-22T00:00:00"/>
        <d v="2024-01-20T00:00:00"/>
        <d v="2024-10-24T00:00:00"/>
        <d v="2024-11-19T00:00:00"/>
        <d v="2024-08-17T00:00:00"/>
        <d v="2024-07-03T00:00:00"/>
        <d v="2024-12-26T00:00:00"/>
        <d v="2024-12-14T00:00:00"/>
        <d v="2024-12-09T00:00:00"/>
        <d v="2024-12-18T00:00:00"/>
        <d v="2024-12-15T00:00:00"/>
        <s v="N/A"/>
        <d v="2024-07-13T00:00:00"/>
        <d v="2024-01-31T00:00:00"/>
        <d v="2024-08-16T00:00:00"/>
        <d v="2024-11-26T00:00:00"/>
        <d v="2024-12-16T00:00:00"/>
        <d v="2024-04-02T00:00:00"/>
        <d v="2024-06-03T00:00:00"/>
        <d v="2024-12-20T00:00:00"/>
        <d v="2024-12-21T00:00:00"/>
        <d v="2024-05-04T00:00:00"/>
        <d v="2024-04-05T00:00:00"/>
        <d v="2024-03-21T00:00:00"/>
        <d v="2024-11-09T00:00:00"/>
        <d v="2024-03-27T00:00:00"/>
        <d v="2024-08-02T00:00:00"/>
        <d v="2024-08-03T00:00:00"/>
        <d v="2024-10-20T00:00:00"/>
        <d v="2024-01-22T00:00:00"/>
        <d v="2024-02-25T00:00:00"/>
        <d v="2024-06-23T00:00:00"/>
        <d v="2024-02-28T00:00:00"/>
        <d v="2024-10-25T00:00:00"/>
        <d v="2024-02-02T00:00:00"/>
        <d v="2024-12-04T00:00:00"/>
        <d v="2024-03-19T00:00:00"/>
        <d v="2024-03-11T00:00:00"/>
        <d v="2024-09-21T00:00:00"/>
        <d v="2024-09-16T00:00:00"/>
        <d v="2024-08-13T00:00:00"/>
        <d v="2024-11-27T00:00:00"/>
        <d v="2024-01-07T00:00:00"/>
        <d v="2024-12-22T00:00:00"/>
        <d v="2024-01-16T00:00:00"/>
        <d v="2024-11-21T00:00:00"/>
        <d v="2024-07-12T00:00:00"/>
        <d v="2024-04-28T00:00:00"/>
        <d v="2024-06-14T00:00:00"/>
        <d v="2024-04-25T00:00:00"/>
        <d v="2024-07-20T00:00:00"/>
        <d v="2024-04-10T00:00:00"/>
        <d v="2024-03-31T00:00:00"/>
        <d v="2024-12-25T00:00:00"/>
        <d v="2024-06-21T00:00:00"/>
        <d v="2024-07-31T00:00:00"/>
        <d v="2024-10-29T00:00:00"/>
        <d v="2024-11-18T00:00:00"/>
        <d v="2024-09-06T00:00:00"/>
        <d v="2024-05-28T00:00:00"/>
        <d v="2024-08-19T00:00:00"/>
        <d v="2024-08-30T00:00:00"/>
        <d v="2024-04-04T00:00:00"/>
        <d v="2024-06-25T00:00:00"/>
        <d v="2024-04-08T00:00:00"/>
        <d v="2024-12-28T00:00:00"/>
        <d v="2024-06-11T00:00:00"/>
        <d v="2024-06-06T00:00:00"/>
        <d v="2024-11-04T00:00:00"/>
        <d v="2024-04-07T00:00:00"/>
        <d v="2024-05-26T00:00:00"/>
        <d v="2024-05-16T00:00:00"/>
        <d v="2024-03-16T00:00:00"/>
        <d v="2024-08-25T00:00:00"/>
        <d v="2024-01-15T00:00:00"/>
        <d v="2024-11-22T00:00:00"/>
        <d v="2024-11-12T00:00:00"/>
        <d v="2024-04-22T00:00:00"/>
        <d v="2024-07-07T00:00:00"/>
        <d v="2024-06-01T00:00:00"/>
        <d v="2024-06-29T00:00:00"/>
        <d v="2024-01-12T00:00:00"/>
        <d v="2024-09-03T00:00:00"/>
        <d v="2024-07-18T00:00:00"/>
        <d v="2024-03-08T00:00:00"/>
        <d v="2024-03-28T00:00:00"/>
        <d v="2024-08-11T00:00:00"/>
        <d v="2024-05-11T00:00:00"/>
        <d v="2024-10-17T00:00:00"/>
        <d v="2024-12-01T00:00:00"/>
        <d v="2024-10-03T00:00:00"/>
        <d v="2024-08-31T00:00:00"/>
        <d v="2024-09-02T00:00:00"/>
        <d v="2024-07-19T00:00:00"/>
        <d v="2024-07-29T00:00:00"/>
        <d v="2024-12-08T00:00:00"/>
        <d v="2024-06-22T00:00:00"/>
        <d v="2024-05-31T00:00:00"/>
        <d v="2024-01-27T00:00:00"/>
        <d v="2024-10-09T00:00:00"/>
        <d v="2024-04-24T00:00:00"/>
        <d v="2024-03-22T00:00:00"/>
        <d v="2024-11-17T00:00:00"/>
        <d v="2024-02-13T00:00:00"/>
        <d v="2024-06-05T00:00:00"/>
        <d v="2024-11-20T00:00:00"/>
        <d v="2024-11-23T00:00:00"/>
        <d v="2024-02-26T00:00:00"/>
        <d v="2024-02-03T00:00:00"/>
        <d v="2024-02-19T00:00:00"/>
        <d v="2024-09-30T00:00:00"/>
        <d v="2024-07-08T00:00:00"/>
        <d v="2024-07-01T00:00:00"/>
        <d v="2024-02-15T00:00:00"/>
        <d v="2024-04-23T00:00:00"/>
        <d v="2024-05-22T00:00:00"/>
        <d v="2024-07-28T00:00:00"/>
        <d v="2024-03-17T00:00:00"/>
        <d v="2024-03-03T00:00:00"/>
        <d v="2024-05-09T00:00:00"/>
        <d v="2024-05-25T00:00:00"/>
        <d v="2024-11-02T00:00:00"/>
        <d v="2024-02-21T00:00:00"/>
        <d v="2024-10-30T00:00:00"/>
        <d v="2024-03-07T00:00:00"/>
        <d v="2024-02-27T00:00:00"/>
        <d v="2024-07-10T00:00:00"/>
        <d v="2024-04-06T00:00:00"/>
        <d v="2024-01-03T00:00:00"/>
        <d v="2024-10-08T00:00:00"/>
        <d v="2024-09-08T00:00:00"/>
        <d v="2024-01-28T00:00:00"/>
        <d v="2024-05-15T00:00:00"/>
        <d v="2024-06-12T00:00:00"/>
        <d v="2024-03-13T00:00:00"/>
        <d v="2024-05-23T00:00:00"/>
        <d v="2024-01-26T00:00:00"/>
        <d v="2024-08-23T00:00:00"/>
        <d v="2024-03-26T00:00:00"/>
        <d v="2024-12-19T00:00:00"/>
        <d v="2024-05-20T00:00:00"/>
      </sharedItems>
    </cacheField>
    <cacheField name="Time" numFmtId="164">
      <sharedItems containsDate="1" containsMixedTypes="1" minDate="1899-12-30T08:00:00" maxDate="1899-12-30T18:30:00"/>
    </cacheField>
    <cacheField name="Department" numFmtId="0">
      <sharedItems count="7">
        <s v="Cardiology"/>
        <s v="Orthopedics"/>
        <s v="N/A"/>
        <s v="Neurology"/>
        <s v="Pediatric"/>
        <s v="Oncology"/>
        <s v="General Medicine"/>
      </sharedItems>
    </cacheField>
    <cacheField name="Feedback Score" numFmtId="0">
      <sharedItems containsSemiMixedTypes="0" containsString="0" containsNumber="1" minValue="3" maxValue="9" count="8">
        <n v="4"/>
        <n v="3"/>
        <n v="6.2849740929999998"/>
        <n v="9"/>
        <n v="8"/>
        <n v="5"/>
        <n v="7"/>
        <n v="6"/>
      </sharedItems>
    </cacheField>
    <cacheField name="Comments" numFmtId="0">
      <sharedItems/>
    </cacheField>
    <cacheField name="WaitTime( in min)" numFmtId="0">
      <sharedItems containsSemiMixedTypes="0" containsString="0" containsNumber="1" minValue="30" maxValue="45"/>
    </cacheField>
    <cacheField name="Satisfaction Level" numFmtId="0">
      <sharedItems count="2">
        <s v="High"/>
        <s v="Low"/>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R5487"/>
    <x v="0"/>
    <x v="0"/>
    <n v="2"/>
    <d v="2024-07-28T00:00:00"/>
    <s v="Unavailable"/>
  </r>
  <r>
    <s v="R8097"/>
    <x v="1"/>
    <x v="1"/>
    <n v="9"/>
    <d v="2024-09-10T00:00:00"/>
    <s v="Unavailable"/>
  </r>
  <r>
    <s v="R2557"/>
    <x v="2"/>
    <x v="2"/>
    <n v="5"/>
    <d v="2024-12-17T00:00:00"/>
    <s v="Under Maintenance"/>
  </r>
  <r>
    <s v="R9024"/>
    <x v="3"/>
    <x v="1"/>
    <n v="9"/>
    <d v="2024-07-09T00:00:00"/>
    <s v="Unavailable"/>
  </r>
  <r>
    <s v="R9181"/>
    <x v="4"/>
    <x v="2"/>
    <n v="0"/>
    <s v="N/A"/>
    <s v="Available"/>
  </r>
  <r>
    <s v="R2629"/>
    <x v="5"/>
    <x v="1"/>
    <n v="4"/>
    <d v="2024-03-06T00:00:00"/>
    <s v="Unavailable"/>
  </r>
  <r>
    <s v="R1317"/>
    <x v="0"/>
    <x v="0"/>
    <n v="0"/>
    <d v="2024-04-01T00:00:00"/>
    <s v="Available"/>
  </r>
  <r>
    <s v="R9640"/>
    <x v="3"/>
    <x v="2"/>
    <n v="1"/>
    <d v="2024-10-16T00:00:00"/>
    <s v="Available"/>
  </r>
  <r>
    <s v="R1787"/>
    <x v="5"/>
    <x v="1"/>
    <n v="8"/>
    <d v="2024-09-23T00:00:00"/>
    <s v="Available"/>
  </r>
  <r>
    <s v="R9426"/>
    <x v="0"/>
    <x v="3"/>
    <n v="5"/>
    <d v="2024-04-13T00:00:00"/>
    <s v="Unavailable"/>
  </r>
  <r>
    <s v="R1606"/>
    <x v="2"/>
    <x v="0"/>
    <n v="8"/>
    <d v="2024-06-17T00:00:00"/>
    <s v="Available"/>
  </r>
  <r>
    <s v="R3242"/>
    <x v="6"/>
    <x v="1"/>
    <n v="0"/>
    <d v="2024-08-15T00:00:00"/>
    <s v="Available"/>
  </r>
  <r>
    <s v="R6893"/>
    <x v="3"/>
    <x v="1"/>
    <n v="3"/>
    <d v="2024-05-04T00:00:00"/>
    <s v="Available"/>
  </r>
  <r>
    <s v="R3237"/>
    <x v="1"/>
    <x v="0"/>
    <n v="4"/>
    <d v="2024-02-22T00:00:00"/>
    <s v="Available"/>
  </r>
  <r>
    <s v="R5274"/>
    <x v="2"/>
    <x v="1"/>
    <n v="7"/>
    <d v="2024-01-20T00:00:00"/>
    <s v="Unavailable"/>
  </r>
  <r>
    <s v="R1039"/>
    <x v="3"/>
    <x v="3"/>
    <n v="5"/>
    <d v="2024-10-24T00:00:00"/>
    <s v="Available"/>
  </r>
  <r>
    <s v="R5597"/>
    <x v="3"/>
    <x v="0"/>
    <n v="4"/>
    <d v="2024-11-19T00:00:00"/>
    <s v="Unavailable"/>
  </r>
  <r>
    <s v="R2939"/>
    <x v="6"/>
    <x v="2"/>
    <n v="0"/>
    <d v="2024-08-17T00:00:00"/>
    <s v="Available"/>
  </r>
  <r>
    <s v="R8840"/>
    <x v="3"/>
    <x v="1"/>
    <n v="8"/>
    <d v="2024-07-03T00:00:00"/>
    <s v="Unavailable"/>
  </r>
  <r>
    <s v="R5074"/>
    <x v="5"/>
    <x v="2"/>
    <n v="4"/>
    <d v="2024-12-26T00:00:00"/>
    <s v="In Use"/>
  </r>
  <r>
    <s v="R3855"/>
    <x v="1"/>
    <x v="4"/>
    <n v="0"/>
    <s v="N/A"/>
    <s v="Unavailable"/>
  </r>
  <r>
    <s v="R8405"/>
    <x v="3"/>
    <x v="3"/>
    <n v="5"/>
    <d v="2024-12-09T00:00:00"/>
    <s v="Available"/>
  </r>
  <r>
    <s v="R5984"/>
    <x v="1"/>
    <x v="5"/>
    <n v="3"/>
    <d v="2024-12-18T00:00:00"/>
    <s v="In Use"/>
  </r>
  <r>
    <s v="R6968"/>
    <x v="2"/>
    <x v="1"/>
    <n v="1"/>
    <d v="2024-12-15T00:00:00"/>
    <s v="Unavailable"/>
  </r>
  <r>
    <s v="R7116"/>
    <x v="0"/>
    <x v="3"/>
    <n v="8"/>
    <d v="2024-04-10T00:00:00"/>
    <s v="Available"/>
  </r>
  <r>
    <s v="R4399"/>
    <x v="2"/>
    <x v="2"/>
    <n v="7"/>
    <d v="2024-09-23T00:00:00"/>
    <s v="Under Maintenance"/>
  </r>
  <r>
    <s v="R6261"/>
    <x v="3"/>
    <x v="5"/>
    <n v="5"/>
    <d v="2024-07-13T00:00:00"/>
    <s v="Under Maintenance"/>
  </r>
  <r>
    <s v="R9923"/>
    <x v="0"/>
    <x v="3"/>
    <n v="8"/>
    <d v="2024-01-31T00:00:00"/>
    <s v="Available"/>
  </r>
  <r>
    <s v="R6097"/>
    <x v="3"/>
    <x v="0"/>
    <n v="9"/>
    <d v="2024-08-16T00:00:00"/>
    <s v="Available"/>
  </r>
  <r>
    <s v="R1624"/>
    <x v="5"/>
    <x v="2"/>
    <n v="2"/>
    <d v="2024-11-26T00:00:00"/>
    <s v="In Use"/>
  </r>
  <r>
    <s v="R6385"/>
    <x v="5"/>
    <x v="1"/>
    <n v="0"/>
    <d v="2024-12-16T00:00:00"/>
    <s v="Unavailable"/>
  </r>
  <r>
    <s v="R2625"/>
    <x v="3"/>
    <x v="5"/>
    <n v="5"/>
    <d v="2024-04-02T00:00:00"/>
    <s v="Under Maintenance"/>
  </r>
  <r>
    <s v="R3097"/>
    <x v="1"/>
    <x v="2"/>
    <n v="6"/>
    <d v="2024-06-03T00:00:00"/>
    <s v="Under Maintenance"/>
  </r>
  <r>
    <s v="R5532"/>
    <x v="6"/>
    <x v="2"/>
    <n v="7"/>
    <d v="2024-04-01T00:00:00"/>
    <s v="In Use"/>
  </r>
  <r>
    <s v="R8648"/>
    <x v="1"/>
    <x v="3"/>
    <n v="0"/>
    <d v="2024-12-20T00:00:00"/>
    <s v="Unavailable"/>
  </r>
  <r>
    <s v="R6744"/>
    <x v="2"/>
    <x v="5"/>
    <n v="9"/>
    <d v="2024-12-21T00:00:00"/>
    <s v="Under Maintenance"/>
  </r>
  <r>
    <s v="R6436"/>
    <x v="2"/>
    <x v="3"/>
    <n v="4"/>
    <d v="2024-05-04T00:00:00"/>
    <s v="Available"/>
  </r>
  <r>
    <s v="R4593"/>
    <x v="1"/>
    <x v="1"/>
    <n v="8"/>
    <d v="2024-04-05T00:00:00"/>
    <s v="Available"/>
  </r>
  <r>
    <s v="R7325"/>
    <x v="6"/>
    <x v="2"/>
    <n v="0"/>
    <d v="2024-03-21T00:00:00"/>
    <s v="In Use"/>
  </r>
  <r>
    <s v="R7808"/>
    <x v="3"/>
    <x v="0"/>
    <n v="2"/>
    <d v="2024-11-09T00:00:00"/>
    <s v="Available"/>
  </r>
  <r>
    <s v="R5805"/>
    <x v="2"/>
    <x v="5"/>
    <n v="4"/>
    <d v="2024-03-27T00:00:00"/>
    <s v="In Use"/>
  </r>
  <r>
    <s v="R3667"/>
    <x v="5"/>
    <x v="1"/>
    <n v="2"/>
    <d v="2024-08-02T00:00:00"/>
    <s v="Available"/>
  </r>
  <r>
    <s v="R2833"/>
    <x v="2"/>
    <x v="5"/>
    <n v="3"/>
    <d v="2024-08-03T00:00:00"/>
    <s v="In Use"/>
  </r>
  <r>
    <s v="N/A"/>
    <x v="5"/>
    <x v="4"/>
    <n v="1"/>
    <s v="N/A"/>
    <s v="Available"/>
  </r>
  <r>
    <s v="R5799"/>
    <x v="2"/>
    <x v="0"/>
    <n v="9"/>
    <d v="2024-01-22T00:00:00"/>
    <s v="Unavailable"/>
  </r>
  <r>
    <s v="R2825"/>
    <x v="6"/>
    <x v="3"/>
    <n v="8"/>
    <d v="2024-02-25T00:00:00"/>
    <s v="Available"/>
  </r>
  <r>
    <s v="R5252"/>
    <x v="6"/>
    <x v="0"/>
    <n v="7"/>
    <d v="2024-06-23T00:00:00"/>
    <s v="Unavailable"/>
  </r>
  <r>
    <s v="R7354"/>
    <x v="6"/>
    <x v="1"/>
    <n v="0"/>
    <d v="2024-02-28T00:00:00"/>
    <s v="Available"/>
  </r>
  <r>
    <s v="R2717"/>
    <x v="0"/>
    <x v="3"/>
    <n v="3"/>
    <d v="2024-10-25T00:00:00"/>
    <s v="Available"/>
  </r>
  <r>
    <s v="R3782"/>
    <x v="6"/>
    <x v="1"/>
    <n v="7"/>
    <d v="2024-02-02T00:00:00"/>
    <s v="Unavailable"/>
  </r>
  <r>
    <s v="R1276"/>
    <x v="5"/>
    <x v="3"/>
    <n v="9"/>
    <d v="2024-12-04T00:00:00"/>
    <s v="Unavailable"/>
  </r>
  <r>
    <s v="R2832"/>
    <x v="6"/>
    <x v="3"/>
    <n v="9"/>
    <d v="2024-07-09T00:00:00"/>
    <s v="Available"/>
  </r>
  <r>
    <s v="R7226"/>
    <x v="3"/>
    <x v="3"/>
    <n v="3"/>
    <d v="2024-03-19T00:00:00"/>
    <s v="Unavailable"/>
  </r>
  <r>
    <s v="R3607"/>
    <x v="3"/>
    <x v="5"/>
    <n v="9"/>
    <d v="2024-03-11T00:00:00"/>
    <s v="Available"/>
  </r>
  <r>
    <s v="R9177"/>
    <x v="2"/>
    <x v="3"/>
    <n v="0"/>
    <d v="2024-12-07T00:00:00"/>
    <s v="Available"/>
  </r>
  <r>
    <s v="R1427"/>
    <x v="2"/>
    <x v="0"/>
    <n v="7"/>
    <d v="2024-09-21T00:00:00"/>
    <s v="Available"/>
  </r>
  <r>
    <s v="R1381"/>
    <x v="6"/>
    <x v="5"/>
    <n v="4"/>
    <d v="2024-09-16T00:00:00"/>
    <s v="Available"/>
  </r>
  <r>
    <s v="R6613"/>
    <x v="3"/>
    <x v="0"/>
    <n v="2"/>
    <d v="2024-10-20T00:00:00"/>
    <s v="Unavailable"/>
  </r>
  <r>
    <s v="R7395"/>
    <x v="5"/>
    <x v="3"/>
    <n v="1"/>
    <d v="2024-08-13T00:00:00"/>
    <s v="Unavailable"/>
  </r>
  <r>
    <s v="R8110"/>
    <x v="2"/>
    <x v="5"/>
    <n v="1"/>
    <d v="2024-11-27T00:00:00"/>
    <s v="In Use"/>
  </r>
  <r>
    <s v="R5282"/>
    <x v="0"/>
    <x v="2"/>
    <n v="5"/>
    <d v="2024-01-07T00:00:00"/>
    <s v="Available"/>
  </r>
  <r>
    <s v="R6766"/>
    <x v="0"/>
    <x v="2"/>
    <n v="0"/>
    <d v="2024-02-28T00:00:00"/>
    <s v="Available"/>
  </r>
  <r>
    <s v="R5926"/>
    <x v="0"/>
    <x v="2"/>
    <n v="0"/>
    <d v="2024-09-10T00:00:00"/>
    <s v="Under Maintenance"/>
  </r>
  <r>
    <s v="R5415"/>
    <x v="0"/>
    <x v="5"/>
    <n v="4"/>
    <d v="2024-12-22T00:00:00"/>
    <s v="Under Maintenance"/>
  </r>
  <r>
    <s v="R3528"/>
    <x v="3"/>
    <x v="0"/>
    <n v="2"/>
    <d v="2024-01-16T00:00:00"/>
    <s v="Available"/>
  </r>
  <r>
    <s v="R9442"/>
    <x v="1"/>
    <x v="2"/>
    <n v="0"/>
    <d v="2024-12-19T00:00:00"/>
    <s v="Available"/>
  </r>
  <r>
    <s v="R9566"/>
    <x v="2"/>
    <x v="3"/>
    <n v="9"/>
    <d v="2024-11-21T00:00:00"/>
    <s v="Unavailable"/>
  </r>
  <r>
    <s v="R8012"/>
    <x v="3"/>
    <x v="5"/>
    <n v="8"/>
    <d v="2024-04-05T00:00:00"/>
    <s v="In Use"/>
  </r>
  <r>
    <s v="R4883"/>
    <x v="0"/>
    <x v="3"/>
    <n v="5"/>
    <d v="2024-07-12T00:00:00"/>
    <s v="Available"/>
  </r>
  <r>
    <s v="R2401"/>
    <x v="5"/>
    <x v="5"/>
    <n v="5"/>
    <d v="2024-04-28T00:00:00"/>
    <s v="Under Maintenance"/>
  </r>
  <r>
    <s v="R7211"/>
    <x v="0"/>
    <x v="0"/>
    <n v="7"/>
    <d v="2024-06-14T00:00:00"/>
    <s v="Unavailable"/>
  </r>
  <r>
    <s v="R9738"/>
    <x v="5"/>
    <x v="3"/>
    <n v="8"/>
    <d v="2024-04-25T00:00:00"/>
    <s v="Unavailable"/>
  </r>
  <r>
    <s v="R1429"/>
    <x v="3"/>
    <x v="2"/>
    <n v="3"/>
    <d v="2024-05-04T00:00:00"/>
    <s v="In Use"/>
  </r>
  <r>
    <s v="R7486"/>
    <x v="0"/>
    <x v="1"/>
    <n v="0"/>
    <d v="2024-07-20T00:00:00"/>
    <s v="Unavailable"/>
  </r>
  <r>
    <s v="R2221"/>
    <x v="6"/>
    <x v="5"/>
    <n v="8"/>
    <d v="2024-04-10T00:00:00"/>
    <s v="Under Maintenance"/>
  </r>
  <r>
    <s v="R8679"/>
    <x v="4"/>
    <x v="1"/>
    <n v="2"/>
    <s v="N/A"/>
    <s v="Available"/>
  </r>
  <r>
    <s v="R7880"/>
    <x v="0"/>
    <x v="3"/>
    <n v="7"/>
    <d v="2024-12-25T00:00:00"/>
    <s v="Available"/>
  </r>
  <r>
    <s v="R9173"/>
    <x v="1"/>
    <x v="1"/>
    <n v="6"/>
    <d v="2024-06-21T00:00:00"/>
    <s v="Available"/>
  </r>
  <r>
    <s v="R8674"/>
    <x v="1"/>
    <x v="2"/>
    <n v="2"/>
    <d v="2024-07-31T00:00:00"/>
    <s v="Available"/>
  </r>
  <r>
    <s v="R3194"/>
    <x v="3"/>
    <x v="5"/>
    <n v="2"/>
    <d v="2024-10-29T00:00:00"/>
    <s v="In Use"/>
  </r>
  <r>
    <s v="R8628"/>
    <x v="0"/>
    <x v="5"/>
    <n v="6"/>
    <d v="2024-11-18T00:00:00"/>
    <s v="Available"/>
  </r>
  <r>
    <s v="R8103"/>
    <x v="6"/>
    <x v="2"/>
    <n v="7"/>
    <d v="2024-09-06T00:00:00"/>
    <s v="In Use"/>
  </r>
  <r>
    <s v="R4911"/>
    <x v="5"/>
    <x v="5"/>
    <n v="0"/>
    <d v="2024-05-28T00:00:00"/>
    <s v="Under Maintenance"/>
  </r>
  <r>
    <s v="R8724"/>
    <x v="1"/>
    <x v="0"/>
    <n v="7"/>
    <d v="2024-01-16T00:00:00"/>
    <s v="Unavailable"/>
  </r>
  <r>
    <s v="R3152"/>
    <x v="2"/>
    <x v="1"/>
    <n v="1"/>
    <d v="2024-02-29T00:00:00"/>
    <s v="Unavailable"/>
  </r>
  <r>
    <s v="R8641"/>
    <x v="0"/>
    <x v="2"/>
    <n v="9"/>
    <d v="2024-08-19T00:00:00"/>
    <s v="In Use"/>
  </r>
  <r>
    <s v="R4369"/>
    <x v="2"/>
    <x v="1"/>
    <n v="5"/>
    <d v="2024-08-30T00:00:00"/>
    <s v="Available"/>
  </r>
  <r>
    <s v="R2354"/>
    <x v="1"/>
    <x v="1"/>
    <n v="7"/>
    <d v="2024-04-04T00:00:00"/>
    <s v="Available"/>
  </r>
  <r>
    <s v="R9147"/>
    <x v="2"/>
    <x v="2"/>
    <n v="2"/>
    <d v="2024-04-04T00:00:00"/>
    <s v="In Use"/>
  </r>
  <r>
    <s v="R8105"/>
    <x v="5"/>
    <x v="5"/>
    <n v="2"/>
    <d v="2024-06-25T00:00:00"/>
    <s v="Under Maintenance"/>
  </r>
  <r>
    <s v="R9167"/>
    <x v="1"/>
    <x v="3"/>
    <n v="2"/>
    <d v="2024-04-08T00:00:00"/>
    <s v="Available"/>
  </r>
  <r>
    <s v="R3746"/>
    <x v="2"/>
    <x v="0"/>
    <n v="9"/>
    <d v="2024-12-28T00:00:00"/>
    <s v="Unavailable"/>
  </r>
  <r>
    <s v="R9081"/>
    <x v="2"/>
    <x v="3"/>
    <n v="4"/>
    <d v="2024-06-11T00:00:00"/>
    <s v="Unavailable"/>
  </r>
  <r>
    <s v="R1794"/>
    <x v="5"/>
    <x v="2"/>
    <n v="6"/>
    <d v="2024-06-06T00:00:00"/>
    <s v="Available"/>
  </r>
  <r>
    <s v="R7782"/>
    <x v="5"/>
    <x v="1"/>
    <n v="1"/>
    <d v="2024-11-04T00:00:00"/>
    <s v="Unavailable"/>
  </r>
  <r>
    <s v="R7818"/>
    <x v="5"/>
    <x v="2"/>
    <n v="2"/>
    <d v="2024-03-19T00:00:00"/>
    <s v="Under Maintenance"/>
  </r>
  <r>
    <s v="R6399"/>
    <x v="0"/>
    <x v="3"/>
    <n v="7"/>
    <d v="2024-04-07T00:00:00"/>
    <s v="Available"/>
  </r>
  <r>
    <s v="R4520"/>
    <x v="5"/>
    <x v="3"/>
    <n v="1"/>
    <d v="2024-05-26T00:00:00"/>
    <s v="Unavailable"/>
  </r>
  <r>
    <s v="R7243"/>
    <x v="3"/>
    <x v="3"/>
    <n v="4"/>
    <d v="2024-06-14T00:00:00"/>
    <s v="Unavailable"/>
  </r>
  <r>
    <s v="R5582"/>
    <x v="3"/>
    <x v="1"/>
    <n v="7"/>
    <d v="2024-05-16T00:00:00"/>
    <s v="Available"/>
  </r>
  <r>
    <s v="R4033"/>
    <x v="1"/>
    <x v="3"/>
    <n v="9"/>
    <d v="2024-03-16T00:00:00"/>
    <s v="Unavailable"/>
  </r>
  <r>
    <s v="R2577"/>
    <x v="1"/>
    <x v="2"/>
    <n v="6"/>
    <d v="2024-08-25T00:00:00"/>
    <s v="In Use"/>
  </r>
  <r>
    <s v="R4743"/>
    <x v="2"/>
    <x v="2"/>
    <n v="9"/>
    <d v="2024-01-15T00:00:00"/>
    <s v="Under Maintenance"/>
  </r>
  <r>
    <s v="R3325"/>
    <x v="1"/>
    <x v="5"/>
    <n v="3"/>
    <d v="2024-11-22T00:00:00"/>
    <s v="Under Maintenance"/>
  </r>
  <r>
    <s v="R1133"/>
    <x v="6"/>
    <x v="3"/>
    <n v="8"/>
    <d v="2024-04-05T00:00:00"/>
    <s v="Available"/>
  </r>
  <r>
    <s v="R2734"/>
    <x v="6"/>
    <x v="1"/>
    <n v="2"/>
    <d v="2024-12-20T00:00:00"/>
    <s v="Available"/>
  </r>
  <r>
    <s v="R4411"/>
    <x v="3"/>
    <x v="3"/>
    <n v="5"/>
    <d v="2024-11-12T00:00:00"/>
    <s v="Unavailable"/>
  </r>
  <r>
    <s v="R4657"/>
    <x v="6"/>
    <x v="1"/>
    <n v="3"/>
    <d v="2024-03-16T00:00:00"/>
    <s v="Available"/>
  </r>
  <r>
    <s v="R5595"/>
    <x v="2"/>
    <x v="5"/>
    <n v="7"/>
    <d v="2024-04-22T00:00:00"/>
    <s v="Under Maintenance"/>
  </r>
  <r>
    <s v="R3368"/>
    <x v="6"/>
    <x v="2"/>
    <n v="6"/>
    <d v="2024-07-07T00:00:00"/>
    <s v="In Use"/>
  </r>
  <r>
    <s v="R3590"/>
    <x v="6"/>
    <x v="3"/>
    <n v="6"/>
    <d v="2024-06-01T00:00:00"/>
    <s v="Available"/>
  </r>
  <r>
    <s v="R1636"/>
    <x v="1"/>
    <x v="2"/>
    <n v="5"/>
    <d v="2024-06-29T00:00:00"/>
    <s v="Under Maintenance"/>
  </r>
  <r>
    <s v="R1419"/>
    <x v="3"/>
    <x v="3"/>
    <n v="4"/>
    <d v="2024-01-12T00:00:00"/>
    <s v="Available"/>
  </r>
  <r>
    <s v="R7729"/>
    <x v="2"/>
    <x v="0"/>
    <n v="2"/>
    <d v="2024-09-03T00:00:00"/>
    <s v="Unavailable"/>
  </r>
  <r>
    <s v="R7577"/>
    <x v="2"/>
    <x v="3"/>
    <n v="1"/>
    <d v="2024-07-13T00:00:00"/>
    <s v="Available"/>
  </r>
  <r>
    <s v="R3762"/>
    <x v="6"/>
    <x v="3"/>
    <n v="5"/>
    <d v="2024-07-18T00:00:00"/>
    <s v="Available"/>
  </r>
  <r>
    <s v="R6690"/>
    <x v="6"/>
    <x v="5"/>
    <n v="5"/>
    <d v="2024-07-31T00:00:00"/>
    <s v="In Use"/>
  </r>
  <r>
    <s v="R3388"/>
    <x v="2"/>
    <x v="0"/>
    <n v="4"/>
    <d v="2024-03-08T00:00:00"/>
    <s v="Available"/>
  </r>
  <r>
    <s v="R4334"/>
    <x v="2"/>
    <x v="2"/>
    <n v="6"/>
    <d v="2024-06-06T00:00:00"/>
    <s v="In Use"/>
  </r>
  <r>
    <s v="R7162"/>
    <x v="3"/>
    <x v="2"/>
    <n v="2"/>
    <d v="2024-03-28T00:00:00"/>
    <s v="Available"/>
  </r>
  <r>
    <s v="R4580"/>
    <x v="5"/>
    <x v="0"/>
    <n v="7"/>
    <d v="2024-07-09T00:00:00"/>
    <s v="Unavailable"/>
  </r>
  <r>
    <s v="R3442"/>
    <x v="5"/>
    <x v="3"/>
    <n v="3"/>
    <d v="2024-09-10T00:00:00"/>
    <s v="Unavailable"/>
  </r>
  <r>
    <s v="R1998"/>
    <x v="0"/>
    <x v="3"/>
    <n v="9"/>
    <d v="2024-08-11T00:00:00"/>
    <s v="Unavailable"/>
  </r>
  <r>
    <s v="R3393"/>
    <x v="5"/>
    <x v="1"/>
    <n v="1"/>
    <d v="2024-05-11T00:00:00"/>
    <s v="Unavailable"/>
  </r>
  <r>
    <s v="R2004"/>
    <x v="3"/>
    <x v="5"/>
    <n v="4"/>
    <d v="2024-10-17T00:00:00"/>
    <s v="In Use"/>
  </r>
  <r>
    <s v="N/A"/>
    <x v="0"/>
    <x v="4"/>
    <n v="2"/>
    <s v="N/A"/>
    <s v="In Use"/>
  </r>
  <r>
    <s v="R3795"/>
    <x v="6"/>
    <x v="1"/>
    <n v="6"/>
    <d v="2024-02-02T00:00:00"/>
    <s v="Available"/>
  </r>
  <r>
    <s v="R5550"/>
    <x v="0"/>
    <x v="5"/>
    <n v="3"/>
    <d v="2024-12-01T00:00:00"/>
    <s v="Available"/>
  </r>
  <r>
    <s v="R1369"/>
    <x v="1"/>
    <x v="0"/>
    <n v="4"/>
    <d v="2024-10-03T00:00:00"/>
    <s v="Available"/>
  </r>
  <r>
    <s v="R9210"/>
    <x v="3"/>
    <x v="1"/>
    <n v="1"/>
    <d v="2024-08-31T00:00:00"/>
    <s v="Available"/>
  </r>
  <r>
    <s v="R7907"/>
    <x v="1"/>
    <x v="5"/>
    <n v="2"/>
    <d v="2024-09-02T00:00:00"/>
    <s v="In Use"/>
  </r>
  <r>
    <s v="R5061"/>
    <x v="2"/>
    <x v="1"/>
    <n v="4"/>
    <d v="2024-07-19T00:00:00"/>
    <s v="Unavailable"/>
  </r>
  <r>
    <s v="R3257"/>
    <x v="3"/>
    <x v="3"/>
    <n v="6"/>
    <d v="2024-09-23T00:00:00"/>
    <s v="Available"/>
  </r>
  <r>
    <s v="R6179"/>
    <x v="2"/>
    <x v="3"/>
    <n v="4"/>
    <d v="2024-07-29T00:00:00"/>
    <s v="Available"/>
  </r>
  <r>
    <s v="R2158"/>
    <x v="5"/>
    <x v="0"/>
    <n v="3"/>
    <d v="2024-03-16T00:00:00"/>
    <s v="Available"/>
  </r>
  <r>
    <s v="R4245"/>
    <x v="0"/>
    <x v="2"/>
    <n v="8"/>
    <d v="2024-12-08T00:00:00"/>
    <s v="In Use"/>
  </r>
  <r>
    <s v="R3900"/>
    <x v="2"/>
    <x v="3"/>
    <n v="8"/>
    <d v="2024-06-22T00:00:00"/>
    <s v="Available"/>
  </r>
  <r>
    <s v="R8250"/>
    <x v="3"/>
    <x v="3"/>
    <n v="0"/>
    <d v="2024-05-31T00:00:00"/>
    <s v="Unavailable"/>
  </r>
  <r>
    <s v="R7871"/>
    <x v="5"/>
    <x v="1"/>
    <n v="7"/>
    <d v="2024-05-31T00:00:00"/>
    <s v="Unavailable"/>
  </r>
  <r>
    <s v="R8375"/>
    <x v="3"/>
    <x v="2"/>
    <n v="0"/>
    <d v="2024-01-27T00:00:00"/>
    <s v="Available"/>
  </r>
  <r>
    <s v="R6418"/>
    <x v="1"/>
    <x v="2"/>
    <n v="0"/>
    <d v="2024-05-27T00:00:00"/>
    <s v="Under Maintenance"/>
  </r>
  <r>
    <s v="R6093"/>
    <x v="2"/>
    <x v="0"/>
    <n v="2"/>
    <d v="2024-01-14T00:00:00"/>
    <s v="Available"/>
  </r>
  <r>
    <s v="R3410"/>
    <x v="6"/>
    <x v="1"/>
    <n v="8"/>
    <d v="2024-10-09T00:00:00"/>
    <s v="Available"/>
  </r>
  <r>
    <s v="R2697"/>
    <x v="5"/>
    <x v="0"/>
    <n v="3"/>
    <d v="2024-04-24T00:00:00"/>
    <s v="Unavailable"/>
  </r>
  <r>
    <s v="R5378"/>
    <x v="0"/>
    <x v="5"/>
    <n v="0"/>
    <d v="2024-08-15T00:00:00"/>
    <s v="Available"/>
  </r>
  <r>
    <s v="R3296"/>
    <x v="5"/>
    <x v="3"/>
    <n v="5"/>
    <d v="2024-03-22T00:00:00"/>
    <s v="Available"/>
  </r>
  <r>
    <s v="R1892"/>
    <x v="5"/>
    <x v="2"/>
    <n v="3"/>
    <d v="2024-11-17T00:00:00"/>
    <s v="Available"/>
  </r>
  <r>
    <s v="R8443"/>
    <x v="1"/>
    <x v="5"/>
    <n v="2"/>
    <d v="2024-02-13T00:00:00"/>
    <s v="Available"/>
  </r>
  <r>
    <s v="R6719"/>
    <x v="5"/>
    <x v="2"/>
    <n v="7"/>
    <d v="2024-06-05T00:00:00"/>
    <s v="Available"/>
  </r>
  <r>
    <s v="R1525"/>
    <x v="6"/>
    <x v="2"/>
    <n v="4"/>
    <d v="2024-11-20T00:00:00"/>
    <s v="In Use"/>
  </r>
  <r>
    <s v="R2602"/>
    <x v="6"/>
    <x v="3"/>
    <n v="5"/>
    <d v="2024-10-29T00:00:00"/>
    <s v="Available"/>
  </r>
  <r>
    <s v="R2439"/>
    <x v="2"/>
    <x v="2"/>
    <n v="0"/>
    <d v="2024-11-23T00:00:00"/>
    <s v="Under Maintenance"/>
  </r>
  <r>
    <s v="R4120"/>
    <x v="3"/>
    <x v="1"/>
    <n v="3"/>
    <d v="2024-02-26T00:00:00"/>
    <s v="Available"/>
  </r>
  <r>
    <s v="R6450"/>
    <x v="3"/>
    <x v="5"/>
    <n v="4"/>
    <d v="2024-07-31T00:00:00"/>
    <s v="Under Maintenance"/>
  </r>
  <r>
    <s v="R3212"/>
    <x v="6"/>
    <x v="1"/>
    <n v="4"/>
    <d v="2024-09-23T00:00:00"/>
    <s v="Unavailable"/>
  </r>
  <r>
    <s v="R3470"/>
    <x v="6"/>
    <x v="0"/>
    <n v="5"/>
    <d v="2024-02-03T00:00:00"/>
    <s v="Unavailable"/>
  </r>
  <r>
    <s v="R4198"/>
    <x v="1"/>
    <x v="5"/>
    <n v="5"/>
    <d v="2024-04-05T00:00:00"/>
    <s v="Under Maintenance"/>
  </r>
  <r>
    <s v="R6653"/>
    <x v="2"/>
    <x v="3"/>
    <n v="0"/>
    <d v="2024-02-19T00:00:00"/>
    <s v="Available"/>
  </r>
  <r>
    <s v="R9325"/>
    <x v="2"/>
    <x v="3"/>
    <n v="0"/>
    <d v="2024-09-30T00:00:00"/>
    <s v="Available"/>
  </r>
  <r>
    <s v="R5653"/>
    <x v="6"/>
    <x v="1"/>
    <n v="6"/>
    <d v="2024-07-08T00:00:00"/>
    <s v="Available"/>
  </r>
  <r>
    <s v="R9221"/>
    <x v="5"/>
    <x v="3"/>
    <n v="1"/>
    <d v="2024-11-23T00:00:00"/>
    <s v="Available"/>
  </r>
  <r>
    <s v="R4576"/>
    <x v="2"/>
    <x v="5"/>
    <n v="9"/>
    <d v="2024-01-10T00:00:00"/>
    <s v="Available"/>
  </r>
  <r>
    <s v="R5250"/>
    <x v="5"/>
    <x v="5"/>
    <n v="1"/>
    <d v="2024-07-01T00:00:00"/>
    <s v="In Use"/>
  </r>
  <r>
    <s v="R9942"/>
    <x v="5"/>
    <x v="2"/>
    <n v="2"/>
    <d v="2024-02-15T00:00:00"/>
    <s v="Under Maintenance"/>
  </r>
  <r>
    <s v="R9637"/>
    <x v="5"/>
    <x v="3"/>
    <n v="9"/>
    <d v="2024-04-23T00:00:00"/>
    <s v="Unavailable"/>
  </r>
  <r>
    <s v="R6571"/>
    <x v="3"/>
    <x v="0"/>
    <n v="2"/>
    <d v="2024-05-22T00:00:00"/>
    <s v="Available"/>
  </r>
  <r>
    <s v="R8275"/>
    <x v="2"/>
    <x v="0"/>
    <n v="5"/>
    <d v="2024-07-01T00:00:00"/>
    <s v="Unavailable"/>
  </r>
  <r>
    <s v="R3024"/>
    <x v="2"/>
    <x v="0"/>
    <n v="5"/>
    <d v="2024-07-28T00:00:00"/>
    <s v="Available"/>
  </r>
  <r>
    <s v="R9407"/>
    <x v="1"/>
    <x v="0"/>
    <n v="4"/>
    <d v="2024-11-17T00:00:00"/>
    <s v="Available"/>
  </r>
  <r>
    <s v="R4375"/>
    <x v="6"/>
    <x v="3"/>
    <n v="4"/>
    <d v="2024-03-17T00:00:00"/>
    <s v="Available"/>
  </r>
  <r>
    <s v="R4311"/>
    <x v="6"/>
    <x v="0"/>
    <n v="1"/>
    <d v="2024-03-03T00:00:00"/>
    <s v="Available"/>
  </r>
  <r>
    <s v="R6892"/>
    <x v="6"/>
    <x v="1"/>
    <n v="6"/>
    <d v="2024-05-09T00:00:00"/>
    <s v="Unavailable"/>
  </r>
  <r>
    <s v="R5035"/>
    <x v="2"/>
    <x v="5"/>
    <n v="0"/>
    <d v="2024-05-25T00:00:00"/>
    <s v="Under Maintenance"/>
  </r>
  <r>
    <s v="R8869"/>
    <x v="5"/>
    <x v="0"/>
    <n v="6"/>
    <d v="2024-11-02T00:00:00"/>
    <s v="Available"/>
  </r>
  <r>
    <s v="R1032"/>
    <x v="2"/>
    <x v="0"/>
    <n v="9"/>
    <d v="2024-06-03T00:00:00"/>
    <s v="Unavailable"/>
  </r>
  <r>
    <s v="R7483"/>
    <x v="6"/>
    <x v="1"/>
    <n v="0"/>
    <d v="2024-02-21T00:00:00"/>
    <s v="Unavailable"/>
  </r>
  <r>
    <s v="R7873"/>
    <x v="6"/>
    <x v="0"/>
    <n v="5"/>
    <d v="2024-10-30T00:00:00"/>
    <s v="Unavailable"/>
  </r>
  <r>
    <s v="R5286"/>
    <x v="1"/>
    <x v="1"/>
    <n v="9"/>
    <d v="2024-03-07T00:00:00"/>
    <s v="Unavailable"/>
  </r>
  <r>
    <s v="R6508"/>
    <x v="1"/>
    <x v="1"/>
    <n v="8"/>
    <d v="2024-02-27T00:00:00"/>
    <s v="Available"/>
  </r>
  <r>
    <s v="R7949"/>
    <x v="3"/>
    <x v="0"/>
    <n v="2"/>
    <d v="2024-08-03T00:00:00"/>
    <s v="Unavailable"/>
  </r>
  <r>
    <s v="R9477"/>
    <x v="5"/>
    <x v="5"/>
    <n v="6"/>
    <d v="2024-07-10T00:00:00"/>
    <s v="Under Maintenance"/>
  </r>
  <r>
    <s v="R4395"/>
    <x v="5"/>
    <x v="1"/>
    <n v="4"/>
    <d v="2024-06-29T00:00:00"/>
    <s v="Unavailable"/>
  </r>
  <r>
    <s v="R3146"/>
    <x v="1"/>
    <x v="1"/>
    <n v="8"/>
    <d v="2024-04-06T00:00:00"/>
    <s v="Unavailable"/>
  </r>
  <r>
    <s v="R2220"/>
    <x v="6"/>
    <x v="3"/>
    <n v="6"/>
    <d v="2024-04-08T00:00:00"/>
    <s v="Available"/>
  </r>
  <r>
    <s v="R7334"/>
    <x v="5"/>
    <x v="2"/>
    <n v="3"/>
    <d v="2024-01-03T00:00:00"/>
    <s v="In Use"/>
  </r>
  <r>
    <s v="R1597"/>
    <x v="3"/>
    <x v="5"/>
    <n v="9"/>
    <d v="2024-10-08T00:00:00"/>
    <s v="Available"/>
  </r>
  <r>
    <s v="R3553"/>
    <x v="6"/>
    <x v="2"/>
    <n v="9"/>
    <d v="2024-07-07T00:00:00"/>
    <s v="Available"/>
  </r>
  <r>
    <s v="R3833"/>
    <x v="6"/>
    <x v="3"/>
    <n v="3"/>
    <d v="2024-09-08T00:00:00"/>
    <s v="Unavailable"/>
  </r>
  <r>
    <s v="R7417"/>
    <x v="1"/>
    <x v="3"/>
    <n v="1"/>
    <d v="2024-01-28T00:00:00"/>
    <s v="Unavailable"/>
  </r>
  <r>
    <s v="R3526"/>
    <x v="2"/>
    <x v="0"/>
    <n v="5"/>
    <d v="2024-05-15T00:00:00"/>
    <s v="Available"/>
  </r>
  <r>
    <s v="R5504"/>
    <x v="6"/>
    <x v="0"/>
    <n v="5"/>
    <d v="2024-06-12T00:00:00"/>
    <s v="Unavailable"/>
  </r>
  <r>
    <s v="R8032"/>
    <x v="6"/>
    <x v="3"/>
    <n v="6"/>
    <d v="2024-03-13T00:00:00"/>
    <s v="Available"/>
  </r>
  <r>
    <s v="R2554"/>
    <x v="6"/>
    <x v="0"/>
    <n v="2"/>
    <d v="2024-05-23T00:00:00"/>
    <s v="Unavailable"/>
  </r>
  <r>
    <s v="R9553"/>
    <x v="5"/>
    <x v="1"/>
    <n v="2"/>
    <d v="2024-01-26T00:00:00"/>
    <s v="Unavailable"/>
  </r>
  <r>
    <s v="N/A"/>
    <x v="5"/>
    <x v="4"/>
    <n v="9"/>
    <s v="N/A"/>
    <s v="Unavailable"/>
  </r>
  <r>
    <s v="R1385"/>
    <x v="6"/>
    <x v="1"/>
    <n v="1"/>
    <d v="2024-03-26T00:00:00"/>
    <s v="Unavailable"/>
  </r>
  <r>
    <s v="R8161"/>
    <x v="2"/>
    <x v="5"/>
    <n v="1"/>
    <d v="2024-12-19T00:00:00"/>
    <s v="Available"/>
  </r>
  <r>
    <s v="R5806"/>
    <x v="6"/>
    <x v="1"/>
    <n v="8"/>
    <d v="2024-03-17T00:00:00"/>
    <s v="Unavailable"/>
  </r>
  <r>
    <s v="R1560"/>
    <x v="6"/>
    <x v="3"/>
    <n v="6"/>
    <d v="2024-05-20T00:00:00"/>
    <s v="Unavailable"/>
  </r>
  <r>
    <s v="R3933"/>
    <x v="3"/>
    <x v="1"/>
    <n v="8"/>
    <d v="2024-10-03T00:00:00"/>
    <s v="Availab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96099"/>
    <s v="N/A"/>
    <x v="0"/>
    <x v="0"/>
    <x v="0"/>
    <x v="0"/>
    <s v="N/A"/>
  </r>
  <r>
    <s v="P16262"/>
    <s v="A7515"/>
    <x v="1"/>
    <x v="1"/>
    <x v="1"/>
    <x v="1"/>
    <s v="No Show"/>
  </r>
  <r>
    <s v="P99601"/>
    <s v="A7537"/>
    <x v="2"/>
    <x v="2"/>
    <x v="2"/>
    <x v="2"/>
    <s v="Completed"/>
  </r>
  <r>
    <s v="P55235"/>
    <s v="A8866"/>
    <x v="2"/>
    <x v="3"/>
    <x v="3"/>
    <x v="3"/>
    <s v="Rescheduled"/>
  </r>
  <r>
    <s v="P93372"/>
    <s v="A3039"/>
    <x v="3"/>
    <x v="4"/>
    <x v="4"/>
    <x v="4"/>
    <s v="Cancelled"/>
  </r>
  <r>
    <s v="P84444"/>
    <s v="A3237"/>
    <x v="1"/>
    <x v="4"/>
    <x v="5"/>
    <x v="5"/>
    <s v="Rescheduled"/>
  </r>
  <r>
    <s v="P41013"/>
    <s v="A8127"/>
    <x v="4"/>
    <x v="3"/>
    <x v="6"/>
    <x v="6"/>
    <s v="No Show"/>
  </r>
  <r>
    <s v="P17235"/>
    <s v="A7025"/>
    <x v="5"/>
    <x v="3"/>
    <x v="7"/>
    <x v="2"/>
    <s v="No Show"/>
  </r>
  <r>
    <s v="P35768"/>
    <s v="A8462"/>
    <x v="6"/>
    <x v="0"/>
    <x v="8"/>
    <x v="3"/>
    <s v="Completed"/>
  </r>
  <r>
    <s v="P28832"/>
    <s v="A9018"/>
    <x v="7"/>
    <x v="1"/>
    <x v="9"/>
    <x v="7"/>
    <s v="Rescheduled"/>
  </r>
  <r>
    <s v="P29680"/>
    <s v="A7791"/>
    <x v="8"/>
    <x v="1"/>
    <x v="10"/>
    <x v="8"/>
    <s v="No Show"/>
  </r>
  <r>
    <s v="P93978"/>
    <s v="A4362"/>
    <x v="9"/>
    <x v="1"/>
    <x v="11"/>
    <x v="3"/>
    <s v="No Show"/>
  </r>
  <r>
    <s v="P83760"/>
    <s v="N/A"/>
    <x v="1"/>
    <x v="4"/>
    <x v="12"/>
    <x v="0"/>
    <s v="Cancelled"/>
  </r>
  <r>
    <s v="P41254"/>
    <s v="A1132"/>
    <x v="3"/>
    <x v="0"/>
    <x v="13"/>
    <x v="9"/>
    <s v="Completed"/>
  </r>
  <r>
    <s v="P73818"/>
    <s v="A6499"/>
    <x v="10"/>
    <x v="1"/>
    <x v="14"/>
    <x v="4"/>
    <s v="Rescheduled"/>
  </r>
  <r>
    <s v="P79312"/>
    <s v="A2196"/>
    <x v="7"/>
    <x v="3"/>
    <x v="15"/>
    <x v="2"/>
    <s v="Completed"/>
  </r>
  <r>
    <s v="P82827"/>
    <s v="A7135"/>
    <x v="3"/>
    <x v="3"/>
    <x v="16"/>
    <x v="10"/>
    <s v="Completed"/>
  </r>
  <r>
    <s v="P25878"/>
    <s v="A8788"/>
    <x v="8"/>
    <x v="4"/>
    <x v="17"/>
    <x v="11"/>
    <s v="Cancelled"/>
  </r>
  <r>
    <s v="P93291"/>
    <s v="A1284"/>
    <x v="10"/>
    <x v="3"/>
    <x v="18"/>
    <x v="4"/>
    <s v="Rescheduled"/>
  </r>
  <r>
    <s v="P14299"/>
    <s v="A7527"/>
    <x v="11"/>
    <x v="0"/>
    <x v="19"/>
    <x v="12"/>
    <s v="Cancelled"/>
  </r>
  <r>
    <s v="P90461"/>
    <s v="A5514"/>
    <x v="12"/>
    <x v="5"/>
    <x v="20"/>
    <x v="1"/>
    <s v="Cancelled"/>
  </r>
  <r>
    <s v="P77174"/>
    <s v="A4853"/>
    <x v="13"/>
    <x v="4"/>
    <x v="21"/>
    <x v="13"/>
    <s v="Rescheduled"/>
  </r>
  <r>
    <s v="P38694"/>
    <s v="A4504"/>
    <x v="7"/>
    <x v="2"/>
    <x v="22"/>
    <x v="14"/>
    <s v="No Show"/>
  </r>
  <r>
    <s v="P45916"/>
    <s v="A2106"/>
    <x v="14"/>
    <x v="2"/>
    <x v="23"/>
    <x v="4"/>
    <s v="Rescheduled"/>
  </r>
  <r>
    <s v="P98707"/>
    <s v="N/A"/>
    <x v="15"/>
    <x v="2"/>
    <x v="24"/>
    <x v="1"/>
    <s v="N/A"/>
  </r>
  <r>
    <s v="P68619"/>
    <s v="A6156"/>
    <x v="13"/>
    <x v="4"/>
    <x v="8"/>
    <x v="4"/>
    <s v="Completed"/>
  </r>
  <r>
    <s v="P11071"/>
    <s v="A2963"/>
    <x v="16"/>
    <x v="1"/>
    <x v="25"/>
    <x v="15"/>
    <s v="Cancelled"/>
  </r>
  <r>
    <s v="P18878"/>
    <s v="A1511"/>
    <x v="17"/>
    <x v="4"/>
    <x v="26"/>
    <x v="4"/>
    <s v="No Show"/>
  </r>
  <r>
    <s v="P88817"/>
    <s v="A1949"/>
    <x v="8"/>
    <x v="4"/>
    <x v="27"/>
    <x v="11"/>
    <s v="Cancelled"/>
  </r>
  <r>
    <s v="P70452"/>
    <s v="A9088"/>
    <x v="18"/>
    <x v="3"/>
    <x v="28"/>
    <x v="14"/>
    <s v="No Show"/>
  </r>
  <r>
    <s v="P79213"/>
    <s v="A1384"/>
    <x v="16"/>
    <x v="2"/>
    <x v="29"/>
    <x v="8"/>
    <s v="Rescheduled"/>
  </r>
  <r>
    <s v="P92292"/>
    <s v="A4140"/>
    <x v="19"/>
    <x v="1"/>
    <x v="30"/>
    <x v="5"/>
    <s v="No Show"/>
  </r>
  <r>
    <s v="P46858"/>
    <s v="A6170"/>
    <x v="19"/>
    <x v="5"/>
    <x v="31"/>
    <x v="3"/>
    <s v="Rescheduled"/>
  </r>
  <r>
    <s v="P10337"/>
    <s v="A5704"/>
    <x v="20"/>
    <x v="3"/>
    <x v="6"/>
    <x v="14"/>
    <s v="Cancelled"/>
  </r>
  <r>
    <s v="P76416"/>
    <s v="A1762"/>
    <x v="0"/>
    <x v="5"/>
    <x v="32"/>
    <x v="7"/>
    <s v="No Show"/>
  </r>
  <r>
    <s v="P47558"/>
    <s v="A3377"/>
    <x v="2"/>
    <x v="1"/>
    <x v="33"/>
    <x v="16"/>
    <s v="No Show"/>
  </r>
  <r>
    <s v="P10851"/>
    <s v="A7484"/>
    <x v="13"/>
    <x v="2"/>
    <x v="34"/>
    <x v="16"/>
    <s v="Completed"/>
  </r>
  <r>
    <s v="P70960"/>
    <s v="A7950"/>
    <x v="7"/>
    <x v="2"/>
    <x v="35"/>
    <x v="8"/>
    <s v="Completed"/>
  </r>
  <r>
    <s v="P62667"/>
    <s v="N/A"/>
    <x v="21"/>
    <x v="2"/>
    <x v="36"/>
    <x v="1"/>
    <s v="N/A"/>
  </r>
  <r>
    <s v="P56742"/>
    <s v="A4062"/>
    <x v="18"/>
    <x v="4"/>
    <x v="37"/>
    <x v="7"/>
    <s v="Rescheduled"/>
  </r>
  <r>
    <s v="P30132"/>
    <s v="A7608"/>
    <x v="3"/>
    <x v="4"/>
    <x v="38"/>
    <x v="17"/>
    <s v="Completed"/>
  </r>
  <r>
    <s v="P43686"/>
    <s v="A6966"/>
    <x v="22"/>
    <x v="3"/>
    <x v="39"/>
    <x v="12"/>
    <s v="Rescheduled"/>
  </r>
  <r>
    <s v="P43188"/>
    <s v="A8149"/>
    <x v="23"/>
    <x v="3"/>
    <x v="40"/>
    <x v="15"/>
    <s v="Cancelled"/>
  </r>
  <r>
    <s v="P35517"/>
    <s v="A8665"/>
    <x v="24"/>
    <x v="0"/>
    <x v="41"/>
    <x v="13"/>
    <s v="Cancelled"/>
  </r>
  <r>
    <s v="P87789"/>
    <s v="A6187"/>
    <x v="25"/>
    <x v="1"/>
    <x v="42"/>
    <x v="11"/>
    <s v="No Show"/>
  </r>
  <r>
    <s v="P76847"/>
    <s v="A9961"/>
    <x v="4"/>
    <x v="1"/>
    <x v="43"/>
    <x v="13"/>
    <s v="Cancelled"/>
  </r>
  <r>
    <s v="P97899"/>
    <s v="A2974"/>
    <x v="14"/>
    <x v="3"/>
    <x v="44"/>
    <x v="14"/>
    <s v="Cancelled"/>
  </r>
  <r>
    <s v="P67499"/>
    <s v="A5835"/>
    <x v="26"/>
    <x v="5"/>
    <x v="45"/>
    <x v="15"/>
    <s v="Cancelled"/>
  </r>
  <r>
    <s v="P22024"/>
    <s v="A6947"/>
    <x v="7"/>
    <x v="3"/>
    <x v="46"/>
    <x v="4"/>
    <s v="No Show"/>
  </r>
  <r>
    <s v="P61654"/>
    <s v="A1148"/>
    <x v="24"/>
    <x v="4"/>
    <x v="47"/>
    <x v="13"/>
    <s v="No Show"/>
  </r>
  <r>
    <s v="P25059"/>
    <s v="A9073"/>
    <x v="22"/>
    <x v="1"/>
    <x v="48"/>
    <x v="6"/>
    <s v="Rescheduled"/>
  </r>
  <r>
    <s v="P80104"/>
    <s v="A6922"/>
    <x v="16"/>
    <x v="0"/>
    <x v="3"/>
    <x v="18"/>
    <s v="Rescheduled"/>
  </r>
  <r>
    <s v="P89217"/>
    <s v="A9724"/>
    <x v="0"/>
    <x v="0"/>
    <x v="49"/>
    <x v="4"/>
    <s v="Completed"/>
  </r>
  <r>
    <s v="P40896"/>
    <s v="A7514"/>
    <x v="26"/>
    <x v="0"/>
    <x v="50"/>
    <x v="3"/>
    <s v="Cancelled"/>
  </r>
  <r>
    <s v="P86378"/>
    <s v="N/A"/>
    <x v="25"/>
    <x v="3"/>
    <x v="24"/>
    <x v="0"/>
    <s v="N/A"/>
  </r>
  <r>
    <s v="P93573"/>
    <s v="A9602"/>
    <x v="11"/>
    <x v="5"/>
    <x v="51"/>
    <x v="16"/>
    <s v="No Show"/>
  </r>
  <r>
    <s v="P27259"/>
    <s v="A3495"/>
    <x v="27"/>
    <x v="3"/>
    <x v="52"/>
    <x v="3"/>
    <s v="Cancelled"/>
  </r>
  <r>
    <s v="P11866"/>
    <s v="A9488"/>
    <x v="18"/>
    <x v="2"/>
    <x v="41"/>
    <x v="4"/>
    <s v="Cancelled"/>
  </r>
  <r>
    <s v="P82148"/>
    <s v="A5762"/>
    <x v="10"/>
    <x v="5"/>
    <x v="53"/>
    <x v="4"/>
    <s v="No Show"/>
  </r>
  <r>
    <s v="P96356"/>
    <s v="A8076"/>
    <x v="10"/>
    <x v="3"/>
    <x v="54"/>
    <x v="19"/>
    <s v="Completed"/>
  </r>
  <r>
    <s v="P95475"/>
    <s v="A9964"/>
    <x v="1"/>
    <x v="3"/>
    <x v="55"/>
    <x v="11"/>
    <s v="No Show"/>
  </r>
  <r>
    <s v="P24760"/>
    <s v="A8328"/>
    <x v="27"/>
    <x v="5"/>
    <x v="45"/>
    <x v="20"/>
    <s v="No Show"/>
  </r>
  <r>
    <s v="P94013"/>
    <s v="A3096"/>
    <x v="15"/>
    <x v="0"/>
    <x v="1"/>
    <x v="5"/>
    <s v="Cancelled"/>
  </r>
  <r>
    <s v="P28262"/>
    <s v="A5851"/>
    <x v="2"/>
    <x v="3"/>
    <x v="56"/>
    <x v="6"/>
    <s v="Rescheduled"/>
  </r>
  <r>
    <s v="P27012"/>
    <s v="A9029"/>
    <x v="26"/>
    <x v="2"/>
    <x v="57"/>
    <x v="15"/>
    <s v="Rescheduled"/>
  </r>
  <r>
    <s v="P14071"/>
    <s v="N/A"/>
    <x v="28"/>
    <x v="5"/>
    <x v="0"/>
    <x v="0"/>
    <s v="N/A"/>
  </r>
  <r>
    <s v="P42600"/>
    <s v="A5016"/>
    <x v="13"/>
    <x v="2"/>
    <x v="58"/>
    <x v="16"/>
    <s v="Cancelled"/>
  </r>
  <r>
    <s v="P59519"/>
    <s v="A8410"/>
    <x v="1"/>
    <x v="5"/>
    <x v="35"/>
    <x v="18"/>
    <s v="Completed"/>
  </r>
  <r>
    <s v="P87869"/>
    <s v="A6602"/>
    <x v="16"/>
    <x v="2"/>
    <x v="59"/>
    <x v="17"/>
    <s v="No Show"/>
  </r>
  <r>
    <s v="P57426"/>
    <s v="A4630"/>
    <x v="9"/>
    <x v="0"/>
    <x v="60"/>
    <x v="15"/>
    <s v="No Show"/>
  </r>
  <r>
    <s v="P77563"/>
    <s v="A7337"/>
    <x v="6"/>
    <x v="3"/>
    <x v="61"/>
    <x v="9"/>
    <s v="Rescheduled"/>
  </r>
  <r>
    <s v="P29377"/>
    <s v="A6960"/>
    <x v="20"/>
    <x v="1"/>
    <x v="62"/>
    <x v="4"/>
    <s v="No Show"/>
  </r>
  <r>
    <s v="P68223"/>
    <s v="A6763"/>
    <x v="9"/>
    <x v="3"/>
    <x v="34"/>
    <x v="20"/>
    <s v="Rescheduled"/>
  </r>
  <r>
    <s v="P55949"/>
    <s v="A2399"/>
    <x v="19"/>
    <x v="4"/>
    <x v="63"/>
    <x v="15"/>
    <s v="Completed"/>
  </r>
  <r>
    <s v="P23588"/>
    <s v="A7962"/>
    <x v="3"/>
    <x v="0"/>
    <x v="64"/>
    <x v="9"/>
    <s v="Completed"/>
  </r>
  <r>
    <s v="P73075"/>
    <s v="A2839"/>
    <x v="8"/>
    <x v="5"/>
    <x v="65"/>
    <x v="19"/>
    <s v="No Show"/>
  </r>
  <r>
    <s v="P82492"/>
    <s v="A4322"/>
    <x v="10"/>
    <x v="3"/>
    <x v="66"/>
    <x v="18"/>
    <s v="Rescheduled"/>
  </r>
  <r>
    <s v="P77493"/>
    <s v="A4269"/>
    <x v="10"/>
    <x v="1"/>
    <x v="67"/>
    <x v="2"/>
    <s v="Cancelled"/>
  </r>
  <r>
    <s v="P22316"/>
    <s v="A2273"/>
    <x v="23"/>
    <x v="1"/>
    <x v="68"/>
    <x v="21"/>
    <s v="No Show"/>
  </r>
  <r>
    <s v="P49994"/>
    <s v="A5011"/>
    <x v="17"/>
    <x v="2"/>
    <x v="69"/>
    <x v="17"/>
    <s v="Completed"/>
  </r>
  <r>
    <s v="P71033"/>
    <s v="A1280"/>
    <x v="9"/>
    <x v="5"/>
    <x v="70"/>
    <x v="11"/>
    <s v="Cancelled"/>
  </r>
  <r>
    <s v="P28668"/>
    <s v="A4434"/>
    <x v="12"/>
    <x v="0"/>
    <x v="71"/>
    <x v="18"/>
    <s v="Rescheduled"/>
  </r>
  <r>
    <s v="P76574"/>
    <s v="A5929"/>
    <x v="18"/>
    <x v="0"/>
    <x v="72"/>
    <x v="16"/>
    <s v="Cancelled"/>
  </r>
  <r>
    <s v="P34541"/>
    <s v="A1107"/>
    <x v="29"/>
    <x v="5"/>
    <x v="57"/>
    <x v="16"/>
    <s v="Rescheduled"/>
  </r>
  <r>
    <s v="P50275"/>
    <s v="N/A"/>
    <x v="23"/>
    <x v="5"/>
    <x v="12"/>
    <x v="0"/>
    <s v="N/A"/>
  </r>
  <r>
    <s v="P28861"/>
    <s v="A8154"/>
    <x v="11"/>
    <x v="4"/>
    <x v="73"/>
    <x v="9"/>
    <s v="Rescheduled"/>
  </r>
  <r>
    <s v="P11217"/>
    <s v="A3997"/>
    <x v="18"/>
    <x v="0"/>
    <x v="74"/>
    <x v="5"/>
    <s v="Rescheduled"/>
  </r>
  <r>
    <s v="P56741"/>
    <s v="A1887"/>
    <x v="28"/>
    <x v="5"/>
    <x v="75"/>
    <x v="5"/>
    <s v="Rescheduled"/>
  </r>
  <r>
    <s v="P19592"/>
    <s v="A2811"/>
    <x v="6"/>
    <x v="4"/>
    <x v="75"/>
    <x v="17"/>
    <s v="Completed"/>
  </r>
  <r>
    <s v="P94928"/>
    <s v="A7866"/>
    <x v="7"/>
    <x v="1"/>
    <x v="76"/>
    <x v="2"/>
    <s v="Completed"/>
  </r>
  <r>
    <s v="P73844"/>
    <s v="A4066"/>
    <x v="13"/>
    <x v="1"/>
    <x v="77"/>
    <x v="17"/>
    <s v="No Show"/>
  </r>
  <r>
    <s v="P50711"/>
    <s v="A1698"/>
    <x v="19"/>
    <x v="2"/>
    <x v="78"/>
    <x v="21"/>
    <s v="Rescheduled"/>
  </r>
  <r>
    <s v="P30920"/>
    <s v="A9430"/>
    <x v="3"/>
    <x v="4"/>
    <x v="79"/>
    <x v="6"/>
    <s v="Cancelled"/>
  </r>
  <r>
    <s v="P26650"/>
    <s v="A4495"/>
    <x v="1"/>
    <x v="1"/>
    <x v="80"/>
    <x v="15"/>
    <s v="Completed"/>
  </r>
  <r>
    <s v="P22791"/>
    <s v="A3333"/>
    <x v="1"/>
    <x v="5"/>
    <x v="81"/>
    <x v="11"/>
    <s v="Cancelled"/>
  </r>
  <r>
    <s v="P17310"/>
    <s v="A5600"/>
    <x v="16"/>
    <x v="2"/>
    <x v="49"/>
    <x v="11"/>
    <s v="Completed"/>
  </r>
  <r>
    <s v="P61087"/>
    <s v="A4561"/>
    <x v="14"/>
    <x v="4"/>
    <x v="82"/>
    <x v="8"/>
    <s v="Cancelled"/>
  </r>
  <r>
    <s v="P81824"/>
    <s v="A1739"/>
    <x v="27"/>
    <x v="3"/>
    <x v="83"/>
    <x v="22"/>
    <s v="Cancelled"/>
  </r>
  <r>
    <s v="P24131"/>
    <s v="A2109"/>
    <x v="30"/>
    <x v="0"/>
    <x v="61"/>
    <x v="18"/>
    <s v="No Show"/>
  </r>
  <r>
    <s v="P38330"/>
    <s v="A1157"/>
    <x v="28"/>
    <x v="5"/>
    <x v="84"/>
    <x v="15"/>
    <s v="Rescheduled"/>
  </r>
  <r>
    <s v="P65114"/>
    <s v="A6884"/>
    <x v="29"/>
    <x v="1"/>
    <x v="85"/>
    <x v="14"/>
    <s v="Completed"/>
  </r>
  <r>
    <s v="P88218"/>
    <s v="A4146"/>
    <x v="13"/>
    <x v="4"/>
    <x v="86"/>
    <x v="22"/>
    <s v="Completed"/>
  </r>
  <r>
    <s v="P34644"/>
    <s v="A3067"/>
    <x v="13"/>
    <x v="3"/>
    <x v="87"/>
    <x v="12"/>
    <s v="Rescheduled"/>
  </r>
  <r>
    <s v="P29322"/>
    <s v="A4312"/>
    <x v="27"/>
    <x v="3"/>
    <x v="88"/>
    <x v="15"/>
    <s v="Completed"/>
  </r>
  <r>
    <s v="P64103"/>
    <s v="A8481"/>
    <x v="0"/>
    <x v="0"/>
    <x v="35"/>
    <x v="19"/>
    <s v="Cancelled"/>
  </r>
  <r>
    <s v="P31843"/>
    <s v="A8951"/>
    <x v="13"/>
    <x v="2"/>
    <x v="32"/>
    <x v="22"/>
    <s v="Completed"/>
  </r>
  <r>
    <s v="P33026"/>
    <s v="A6060"/>
    <x v="14"/>
    <x v="1"/>
    <x v="89"/>
    <x v="8"/>
    <s v="No Show"/>
  </r>
  <r>
    <s v="P47436"/>
    <s v="A9814"/>
    <x v="19"/>
    <x v="0"/>
    <x v="85"/>
    <x v="10"/>
    <s v="Rescheduled"/>
  </r>
  <r>
    <s v="P48965"/>
    <s v="A9209"/>
    <x v="26"/>
    <x v="5"/>
    <x v="90"/>
    <x v="4"/>
    <s v="Rescheduled"/>
  </r>
  <r>
    <s v="P20771"/>
    <s v="A4611"/>
    <x v="20"/>
    <x v="4"/>
    <x v="91"/>
    <x v="16"/>
    <s v="Rescheduled"/>
  </r>
  <r>
    <s v="P32966"/>
    <s v="A9807"/>
    <x v="25"/>
    <x v="4"/>
    <x v="92"/>
    <x v="14"/>
    <s v="Completed"/>
  </r>
  <r>
    <s v="P65077"/>
    <s v="A1390"/>
    <x v="20"/>
    <x v="2"/>
    <x v="93"/>
    <x v="6"/>
    <s v="Completed"/>
  </r>
  <r>
    <s v="P30147"/>
    <s v="A8552"/>
    <x v="2"/>
    <x v="5"/>
    <x v="94"/>
    <x v="4"/>
    <s v="Completed"/>
  </r>
  <r>
    <s v="P48563"/>
    <s v="N/A"/>
    <x v="18"/>
    <x v="6"/>
    <x v="95"/>
    <x v="0"/>
    <s v="Completed"/>
  </r>
  <r>
    <s v="P54890"/>
    <s v="A2077"/>
    <x v="27"/>
    <x v="5"/>
    <x v="25"/>
    <x v="9"/>
    <s v="Completed"/>
  </r>
  <r>
    <s v="P77589"/>
    <s v="A4393"/>
    <x v="5"/>
    <x v="4"/>
    <x v="96"/>
    <x v="14"/>
    <s v="Rescheduled"/>
  </r>
  <r>
    <s v="P59917"/>
    <s v="A9429"/>
    <x v="24"/>
    <x v="2"/>
    <x v="68"/>
    <x v="14"/>
    <s v="Cancelled"/>
  </r>
  <r>
    <s v="P89260"/>
    <s v="A9519"/>
    <x v="25"/>
    <x v="5"/>
    <x v="97"/>
    <x v="17"/>
    <s v="No Show"/>
  </r>
  <r>
    <s v="P22612"/>
    <s v="A3483"/>
    <x v="14"/>
    <x v="1"/>
    <x v="80"/>
    <x v="17"/>
    <s v="Completed"/>
  </r>
  <r>
    <s v="P10983"/>
    <s v="A9319"/>
    <x v="9"/>
    <x v="3"/>
    <x v="98"/>
    <x v="17"/>
    <s v="Completed"/>
  </r>
  <r>
    <s v="P61404"/>
    <s v="A7880"/>
    <x v="19"/>
    <x v="0"/>
    <x v="3"/>
    <x v="20"/>
    <s v="Rescheduled"/>
  </r>
  <r>
    <s v="P68408"/>
    <s v="A8498"/>
    <x v="19"/>
    <x v="3"/>
    <x v="1"/>
    <x v="18"/>
    <s v="Completed"/>
  </r>
  <r>
    <s v="P80709"/>
    <s v="A6824"/>
    <x v="0"/>
    <x v="0"/>
    <x v="99"/>
    <x v="3"/>
    <s v="Rescheduled"/>
  </r>
  <r>
    <s v="P22483"/>
    <s v="A1087"/>
    <x v="18"/>
    <x v="1"/>
    <x v="100"/>
    <x v="21"/>
    <s v="Completed"/>
  </r>
  <r>
    <s v="P29433"/>
    <s v="A4414"/>
    <x v="13"/>
    <x v="2"/>
    <x v="101"/>
    <x v="7"/>
    <s v="Completed"/>
  </r>
  <r>
    <s v="P81174"/>
    <s v="A3515"/>
    <x v="3"/>
    <x v="1"/>
    <x v="102"/>
    <x v="17"/>
    <s v="Completed"/>
  </r>
  <r>
    <s v="P63392"/>
    <s v="A2655"/>
    <x v="20"/>
    <x v="1"/>
    <x v="47"/>
    <x v="2"/>
    <s v="Rescheduled"/>
  </r>
  <r>
    <s v="P24186"/>
    <s v="A3613"/>
    <x v="4"/>
    <x v="2"/>
    <x v="103"/>
    <x v="3"/>
    <s v="Cancelled"/>
  </r>
  <r>
    <s v="P12075"/>
    <s v="A8377"/>
    <x v="17"/>
    <x v="4"/>
    <x v="104"/>
    <x v="19"/>
    <s v="Completed"/>
  </r>
  <r>
    <s v="P36565"/>
    <s v="A6529"/>
    <x v="14"/>
    <x v="5"/>
    <x v="105"/>
    <x v="6"/>
    <s v="Cancelled"/>
  </r>
  <r>
    <s v="P17033"/>
    <s v="A2906"/>
    <x v="4"/>
    <x v="1"/>
    <x v="106"/>
    <x v="12"/>
    <s v="Completed"/>
  </r>
  <r>
    <s v="P53406"/>
    <s v="A2994"/>
    <x v="3"/>
    <x v="0"/>
    <x v="107"/>
    <x v="5"/>
    <s v="Cancelled"/>
  </r>
  <r>
    <s v="P74577"/>
    <s v="A6194"/>
    <x v="28"/>
    <x v="5"/>
    <x v="8"/>
    <x v="14"/>
    <s v="Completed"/>
  </r>
  <r>
    <s v="P54686"/>
    <s v="A5675"/>
    <x v="17"/>
    <x v="0"/>
    <x v="108"/>
    <x v="1"/>
    <s v="No Show"/>
  </r>
  <r>
    <s v="P15042"/>
    <s v="A7625"/>
    <x v="0"/>
    <x v="0"/>
    <x v="85"/>
    <x v="5"/>
    <s v="Completed"/>
  </r>
  <r>
    <s v="P66658"/>
    <s v="A2478"/>
    <x v="15"/>
    <x v="5"/>
    <x v="109"/>
    <x v="10"/>
    <s v="Completed"/>
  </r>
  <r>
    <s v="P46158"/>
    <s v="A3419"/>
    <x v="10"/>
    <x v="0"/>
    <x v="110"/>
    <x v="6"/>
    <s v="Completed"/>
  </r>
  <r>
    <s v="P47910"/>
    <s v="A8571"/>
    <x v="10"/>
    <x v="1"/>
    <x v="111"/>
    <x v="15"/>
    <s v="Rescheduled"/>
  </r>
  <r>
    <s v="P69894"/>
    <s v="A5158"/>
    <x v="3"/>
    <x v="4"/>
    <x v="111"/>
    <x v="5"/>
    <s v="Cancelled"/>
  </r>
  <r>
    <s v="P86247"/>
    <s v="A9474"/>
    <x v="6"/>
    <x v="4"/>
    <x v="112"/>
    <x v="14"/>
    <s v="Cancelled"/>
  </r>
  <r>
    <s v="P31668"/>
    <s v="N/A"/>
    <x v="9"/>
    <x v="4"/>
    <x v="0"/>
    <x v="0"/>
    <s v="N/A"/>
  </r>
  <r>
    <s v="P42193"/>
    <s v="A3302"/>
    <x v="7"/>
    <x v="2"/>
    <x v="12"/>
    <x v="18"/>
    <s v="Completed"/>
  </r>
  <r>
    <s v="P29032"/>
    <s v="A8884"/>
    <x v="7"/>
    <x v="4"/>
    <x v="113"/>
    <x v="20"/>
    <s v="No Show"/>
  </r>
  <r>
    <s v="P72811"/>
    <s v="A4568"/>
    <x v="24"/>
    <x v="1"/>
    <x v="114"/>
    <x v="15"/>
    <s v="Rescheduled"/>
  </r>
  <r>
    <s v="P96259"/>
    <s v="A4659"/>
    <x v="11"/>
    <x v="1"/>
    <x v="11"/>
    <x v="19"/>
    <s v="Completed"/>
  </r>
  <r>
    <s v="P44251"/>
    <s v="A2509"/>
    <x v="7"/>
    <x v="3"/>
    <x v="115"/>
    <x v="17"/>
    <s v="No Show"/>
  </r>
  <r>
    <s v="P16884"/>
    <s v="A5133"/>
    <x v="29"/>
    <x v="4"/>
    <x v="116"/>
    <x v="7"/>
    <s v="No Show"/>
  </r>
  <r>
    <s v="P81817"/>
    <s v="A5428"/>
    <x v="15"/>
    <x v="2"/>
    <x v="117"/>
    <x v="8"/>
    <s v="No Show"/>
  </r>
  <r>
    <s v="P77843"/>
    <s v="A6482"/>
    <x v="9"/>
    <x v="0"/>
    <x v="118"/>
    <x v="12"/>
    <s v="Completed"/>
  </r>
  <r>
    <s v="P57937"/>
    <s v="A3214"/>
    <x v="23"/>
    <x v="0"/>
    <x v="119"/>
    <x v="21"/>
    <s v="Cancelled"/>
  </r>
  <r>
    <s v="P82099"/>
    <s v="A9946"/>
    <x v="24"/>
    <x v="1"/>
    <x v="69"/>
    <x v="3"/>
    <s v="No Show"/>
  </r>
  <r>
    <s v="P94085"/>
    <s v="A1914"/>
    <x v="16"/>
    <x v="4"/>
    <x v="120"/>
    <x v="1"/>
    <s v="No Show"/>
  </r>
  <r>
    <s v="P50596"/>
    <s v="A8524"/>
    <x v="26"/>
    <x v="4"/>
    <x v="121"/>
    <x v="22"/>
    <s v="Rescheduled"/>
  </r>
  <r>
    <s v="P52297"/>
    <s v="A2924"/>
    <x v="1"/>
    <x v="3"/>
    <x v="68"/>
    <x v="18"/>
    <s v="No Show"/>
  </r>
  <r>
    <s v="P69830"/>
    <s v="A7356"/>
    <x v="29"/>
    <x v="0"/>
    <x v="8"/>
    <x v="18"/>
    <s v="Completed"/>
  </r>
  <r>
    <s v="P95953"/>
    <s v="A3207"/>
    <x v="28"/>
    <x v="0"/>
    <x v="122"/>
    <x v="13"/>
    <s v="Completed"/>
  </r>
  <r>
    <s v="P84949"/>
    <s v="A8095"/>
    <x v="12"/>
    <x v="4"/>
    <x v="35"/>
    <x v="4"/>
    <s v="Completed"/>
  </r>
  <r>
    <s v="P53519"/>
    <s v="A8676"/>
    <x v="30"/>
    <x v="3"/>
    <x v="123"/>
    <x v="9"/>
    <s v="Completed"/>
  </r>
  <r>
    <s v="P38037"/>
    <s v="A6110"/>
    <x v="23"/>
    <x v="4"/>
    <x v="124"/>
    <x v="21"/>
    <s v="No Show"/>
  </r>
  <r>
    <s v="P28397"/>
    <s v="A9091"/>
    <x v="4"/>
    <x v="4"/>
    <x v="125"/>
    <x v="10"/>
    <s v="Cancelled"/>
  </r>
  <r>
    <s v="P41694"/>
    <s v="A7078"/>
    <x v="1"/>
    <x v="5"/>
    <x v="120"/>
    <x v="2"/>
    <s v="Completed"/>
  </r>
  <r>
    <s v="P86657"/>
    <s v="N/A"/>
    <x v="19"/>
    <x v="5"/>
    <x v="12"/>
    <x v="0"/>
    <s v="N/A"/>
  </r>
  <r>
    <s v="P87617"/>
    <s v="A6318"/>
    <x v="8"/>
    <x v="4"/>
    <x v="126"/>
    <x v="12"/>
    <s v="Rescheduled"/>
  </r>
  <r>
    <s v="P28106"/>
    <s v="A2447"/>
    <x v="12"/>
    <x v="1"/>
    <x v="127"/>
    <x v="6"/>
    <s v="Cancelled"/>
  </r>
  <r>
    <s v="P81675"/>
    <s v="A7151"/>
    <x v="26"/>
    <x v="2"/>
    <x v="128"/>
    <x v="6"/>
    <s v="Rescheduled"/>
  </r>
  <r>
    <s v="P42541"/>
    <s v="A9386"/>
    <x v="25"/>
    <x v="1"/>
    <x v="129"/>
    <x v="6"/>
    <s v="Rescheduled"/>
  </r>
  <r>
    <s v="P90961"/>
    <s v="A2462"/>
    <x v="23"/>
    <x v="1"/>
    <x v="126"/>
    <x v="5"/>
    <s v="No Show"/>
  </r>
  <r>
    <s v="P89375"/>
    <s v="A1120"/>
    <x v="11"/>
    <x v="5"/>
    <x v="130"/>
    <x v="17"/>
    <s v="Rescheduled"/>
  </r>
  <r>
    <s v="P50132"/>
    <s v="A2187"/>
    <x v="30"/>
    <x v="0"/>
    <x v="116"/>
    <x v="9"/>
    <s v="Completed"/>
  </r>
  <r>
    <s v="P32413"/>
    <s v="A8535"/>
    <x v="27"/>
    <x v="5"/>
    <x v="131"/>
    <x v="4"/>
    <s v="Cancelled"/>
  </r>
  <r>
    <s v="P22184"/>
    <s v="A1625"/>
    <x v="16"/>
    <x v="5"/>
    <x v="132"/>
    <x v="2"/>
    <s v="Rescheduled"/>
  </r>
  <r>
    <s v="P50298"/>
    <s v="A9986"/>
    <x v="6"/>
    <x v="0"/>
    <x v="133"/>
    <x v="9"/>
    <s v="Completed"/>
  </r>
  <r>
    <s v="P36715"/>
    <s v="A6445"/>
    <x v="22"/>
    <x v="0"/>
    <x v="134"/>
    <x v="1"/>
    <s v="Rescheduled"/>
  </r>
  <r>
    <s v="P88279"/>
    <s v="A8557"/>
    <x v="0"/>
    <x v="4"/>
    <x v="135"/>
    <x v="9"/>
    <s v="Rescheduled"/>
  </r>
  <r>
    <s v="P55468"/>
    <s v="A2482"/>
    <x v="18"/>
    <x v="4"/>
    <x v="31"/>
    <x v="13"/>
    <s v="Completed"/>
  </r>
  <r>
    <s v="P22511"/>
    <s v="A6526"/>
    <x v="5"/>
    <x v="0"/>
    <x v="136"/>
    <x v="2"/>
    <s v="Cancelled"/>
  </r>
  <r>
    <s v="P95021"/>
    <s v="A6440"/>
    <x v="20"/>
    <x v="0"/>
    <x v="137"/>
    <x v="11"/>
    <s v="No Show"/>
  </r>
  <r>
    <s v="P43786"/>
    <s v="A6172"/>
    <x v="20"/>
    <x v="4"/>
    <x v="138"/>
    <x v="19"/>
    <s v="Rescheduled"/>
  </r>
  <r>
    <s v="P18635"/>
    <s v="A3589"/>
    <x v="15"/>
    <x v="4"/>
    <x v="139"/>
    <x v="10"/>
    <s v="Rescheduled"/>
  </r>
  <r>
    <s v="P28088"/>
    <s v="A4019"/>
    <x v="22"/>
    <x v="2"/>
    <x v="40"/>
    <x v="18"/>
    <s v="Cancelled"/>
  </r>
  <r>
    <s v="P88045"/>
    <s v="A3259"/>
    <x v="16"/>
    <x v="3"/>
    <x v="140"/>
    <x v="15"/>
    <s v="Cancelled"/>
  </r>
  <r>
    <s v="P95964"/>
    <s v="A6695"/>
    <x v="11"/>
    <x v="4"/>
    <x v="93"/>
    <x v="9"/>
    <s v="Completed"/>
  </r>
  <r>
    <s v="P32057"/>
    <s v="A2197"/>
    <x v="19"/>
    <x v="5"/>
    <x v="141"/>
    <x v="18"/>
    <s v="No Show"/>
  </r>
  <r>
    <s v="P32295"/>
    <s v="A9356"/>
    <x v="4"/>
    <x v="0"/>
    <x v="77"/>
    <x v="8"/>
    <s v="Cancelled"/>
  </r>
  <r>
    <s v="P40762"/>
    <s v="A9238"/>
    <x v="4"/>
    <x v="3"/>
    <x v="142"/>
    <x v="18"/>
    <s v="Completed"/>
  </r>
  <r>
    <s v="P86619"/>
    <s v="A6497"/>
    <x v="14"/>
    <x v="3"/>
    <x v="143"/>
    <x v="16"/>
    <s v="Completed"/>
  </r>
  <r>
    <s v="P13916"/>
    <s v="N/A"/>
    <x v="11"/>
    <x v="2"/>
    <x v="91"/>
    <x v="0"/>
    <s v="N/A"/>
  </r>
  <r>
    <s v="P90601"/>
    <s v="A2454"/>
    <x v="18"/>
    <x v="3"/>
    <x v="102"/>
    <x v="9"/>
    <s v="No Show"/>
  </r>
  <r>
    <s v="P22337"/>
    <s v="A7982"/>
    <x v="16"/>
    <x v="5"/>
    <x v="144"/>
    <x v="11"/>
    <s v="Completed"/>
  </r>
  <r>
    <s v="P60677"/>
    <s v="A6772"/>
    <x v="3"/>
    <x v="3"/>
    <x v="145"/>
    <x v="10"/>
    <s v="No Show"/>
  </r>
  <r>
    <s v="P75831"/>
    <s v="A5366"/>
    <x v="17"/>
    <x v="5"/>
    <x v="146"/>
    <x v="11"/>
    <s v="Cancelled"/>
  </r>
  <r>
    <s v="P68253"/>
    <s v="A6174"/>
    <x v="13"/>
    <x v="2"/>
    <x v="147"/>
    <x v="21"/>
    <s v="No Show"/>
  </r>
  <r>
    <s v="P14650"/>
    <s v="A6971"/>
    <x v="23"/>
    <x v="0"/>
    <x v="148"/>
    <x v="3"/>
    <s v="No Show"/>
  </r>
  <r>
    <s v="P15250"/>
    <s v="A7748"/>
    <x v="5"/>
    <x v="0"/>
    <x v="149"/>
    <x v="10"/>
    <s v="Completed"/>
  </r>
  <r>
    <s v="P10797"/>
    <s v="A7444"/>
    <x v="22"/>
    <x v="3"/>
    <x v="150"/>
    <x v="6"/>
    <s v="Cancelled"/>
  </r>
  <r>
    <s v="P30694"/>
    <s v="A9632"/>
    <x v="17"/>
    <x v="2"/>
    <x v="151"/>
    <x v="13"/>
    <s v="Cancelled"/>
  </r>
  <r>
    <s v="P59755"/>
    <s v="A1765"/>
    <x v="12"/>
    <x v="2"/>
    <x v="152"/>
    <x v="19"/>
    <s v="No Show"/>
  </r>
  <r>
    <s v="P80770"/>
    <s v="A3732"/>
    <x v="26"/>
    <x v="5"/>
    <x v="131"/>
    <x v="19"/>
    <s v="No Show"/>
  </r>
  <r>
    <s v="P67482"/>
    <s v="A5220"/>
    <x v="5"/>
    <x v="5"/>
    <x v="153"/>
    <x v="20"/>
    <s v="No Show"/>
  </r>
  <r>
    <s v="P13204"/>
    <s v="A5292"/>
    <x v="19"/>
    <x v="0"/>
    <x v="104"/>
    <x v="20"/>
    <s v="Cancell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P96099"/>
    <x v="0"/>
    <s v="N/A"/>
    <x v="0"/>
    <x v="0"/>
    <s v="Delayed response"/>
    <n v="45"/>
    <x v="0"/>
  </r>
  <r>
    <s v="P16262"/>
    <x v="1"/>
    <d v="1899-12-30T13:00:00"/>
    <x v="1"/>
    <x v="1"/>
    <s v="Needs improvement"/>
    <n v="45"/>
    <x v="1"/>
  </r>
  <r>
    <s v="P99601"/>
    <x v="2"/>
    <d v="1899-12-30T15:00:00"/>
    <x v="2"/>
    <x v="2"/>
    <s v="Excellent care"/>
    <n v="30"/>
    <x v="0"/>
  </r>
  <r>
    <s v="P55235"/>
    <x v="3"/>
    <d v="1899-12-30T15:30:00"/>
    <x v="3"/>
    <x v="3"/>
    <s v="Amazing team"/>
    <n v="30"/>
    <x v="0"/>
  </r>
  <r>
    <s v="P93372"/>
    <x v="4"/>
    <d v="1899-12-30T18:00:00"/>
    <x v="4"/>
    <x v="4"/>
    <s v="Great doctors"/>
    <n v="45"/>
    <x v="0"/>
  </r>
  <r>
    <s v="P84444"/>
    <x v="5"/>
    <d v="1899-12-30T17:30:00"/>
    <x v="4"/>
    <x v="5"/>
    <s v="Satisfactory"/>
    <n v="45"/>
    <x v="0"/>
  </r>
  <r>
    <s v="P41013"/>
    <x v="6"/>
    <d v="1899-12-30T11:00:00"/>
    <x v="3"/>
    <x v="0"/>
    <s v="Delayed response"/>
    <n v="45"/>
    <x v="0"/>
  </r>
  <r>
    <s v="P17235"/>
    <x v="7"/>
    <d v="1899-12-30T15:00:00"/>
    <x v="3"/>
    <x v="6"/>
    <s v="Child-friendly staff"/>
    <n v="45"/>
    <x v="0"/>
  </r>
  <r>
    <s v="P35768"/>
    <x v="8"/>
    <d v="1899-12-30T15:30:00"/>
    <x v="0"/>
    <x v="6"/>
    <s v="Child-friendly staff"/>
    <n v="45"/>
    <x v="0"/>
  </r>
  <r>
    <s v="P28832"/>
    <x v="9"/>
    <d v="1899-12-30T13:30:00"/>
    <x v="1"/>
    <x v="0"/>
    <s v="Delayed response"/>
    <n v="45"/>
    <x v="0"/>
  </r>
  <r>
    <s v="P29680"/>
    <x v="10"/>
    <d v="1899-12-30T08:30:00"/>
    <x v="1"/>
    <x v="0"/>
    <s v="Room cleanliness issue"/>
    <n v="45"/>
    <x v="0"/>
  </r>
  <r>
    <s v="P93978"/>
    <x v="11"/>
    <d v="1899-12-30T15:30:00"/>
    <x v="1"/>
    <x v="1"/>
    <s v="Long wait times"/>
    <n v="45"/>
    <x v="1"/>
  </r>
  <r>
    <s v="P83760"/>
    <x v="12"/>
    <s v="N/A"/>
    <x v="4"/>
    <x v="6"/>
    <s v="Child-friendly staff"/>
    <n v="45"/>
    <x v="0"/>
  </r>
  <r>
    <s v="P41254"/>
    <x v="13"/>
    <d v="1899-12-30T08:00:00"/>
    <x v="0"/>
    <x v="1"/>
    <s v="Long wait times"/>
    <n v="45"/>
    <x v="1"/>
  </r>
  <r>
    <s v="P73818"/>
    <x v="14"/>
    <d v="1899-12-30T18:00:00"/>
    <x v="1"/>
    <x v="1"/>
    <s v="Long wait times"/>
    <n v="45"/>
    <x v="1"/>
  </r>
  <r>
    <s v="P79312"/>
    <x v="15"/>
    <d v="1899-12-30T15:00:00"/>
    <x v="3"/>
    <x v="7"/>
    <s v="Very good"/>
    <n v="45"/>
    <x v="0"/>
  </r>
  <r>
    <s v="P82827"/>
    <x v="16"/>
    <d v="1899-12-30T14:30:00"/>
    <x v="3"/>
    <x v="5"/>
    <s v="Average"/>
    <n v="45"/>
    <x v="0"/>
  </r>
  <r>
    <s v="P25878"/>
    <x v="17"/>
    <d v="1899-12-30T16:00:00"/>
    <x v="2"/>
    <x v="2"/>
    <s v="Helpful staff"/>
    <n v="41.479591839999998"/>
    <x v="0"/>
  </r>
  <r>
    <s v="P93291"/>
    <x v="18"/>
    <d v="1899-12-30T18:00:00"/>
    <x v="3"/>
    <x v="4"/>
    <s v="Efficient process"/>
    <n v="45"/>
    <x v="0"/>
  </r>
  <r>
    <s v="P14299"/>
    <x v="19"/>
    <d v="1899-12-30T12:30:00"/>
    <x v="0"/>
    <x v="4"/>
    <s v="Great doctors"/>
    <n v="45"/>
    <x v="0"/>
  </r>
  <r>
    <s v="P90461"/>
    <x v="20"/>
    <d v="1899-12-30T13:00:00"/>
    <x v="5"/>
    <x v="1"/>
    <s v="Needs improvement"/>
    <n v="45"/>
    <x v="1"/>
  </r>
  <r>
    <s v="P77174"/>
    <x v="21"/>
    <d v="1899-12-30T09:30:00"/>
    <x v="4"/>
    <x v="0"/>
    <s v="Delayed response"/>
    <n v="45"/>
    <x v="0"/>
  </r>
  <r>
    <s v="P38694"/>
    <x v="22"/>
    <d v="1899-12-30T10:00:00"/>
    <x v="6"/>
    <x v="6"/>
    <s v="Child-friendly staff"/>
    <n v="45"/>
    <x v="0"/>
  </r>
  <r>
    <s v="P45916"/>
    <x v="23"/>
    <d v="1899-12-30T18:00:00"/>
    <x v="6"/>
    <x v="0"/>
    <s v="Delayed response"/>
    <n v="45"/>
    <x v="0"/>
  </r>
  <r>
    <s v="P98707"/>
    <x v="24"/>
    <d v="1899-12-30T13:00:00"/>
    <x v="6"/>
    <x v="3"/>
    <s v="Highly recommended"/>
    <n v="30"/>
    <x v="0"/>
  </r>
  <r>
    <s v="P68619"/>
    <x v="8"/>
    <d v="1899-12-30T18:00:00"/>
    <x v="4"/>
    <x v="0"/>
    <s v="Delayed response"/>
    <n v="45"/>
    <x v="0"/>
  </r>
  <r>
    <s v="P11071"/>
    <x v="25"/>
    <d v="1899-12-30T18:30:00"/>
    <x v="1"/>
    <x v="6"/>
    <s v="Child-friendly staff"/>
    <n v="45"/>
    <x v="0"/>
  </r>
  <r>
    <s v="P18878"/>
    <x v="26"/>
    <d v="1899-12-30T18:00:00"/>
    <x v="4"/>
    <x v="6"/>
    <s v="Satisfactory"/>
    <n v="45"/>
    <x v="0"/>
  </r>
  <r>
    <s v="P88817"/>
    <x v="27"/>
    <d v="1899-12-30T16:00:00"/>
    <x v="4"/>
    <x v="1"/>
    <s v="Needs improvement"/>
    <n v="45"/>
    <x v="1"/>
  </r>
  <r>
    <s v="P70452"/>
    <x v="28"/>
    <d v="1899-12-30T10:00:00"/>
    <x v="3"/>
    <x v="3"/>
    <s v="Excellent care"/>
    <n v="30"/>
    <x v="0"/>
  </r>
  <r>
    <s v="P79213"/>
    <x v="29"/>
    <d v="1899-12-30T08:30:00"/>
    <x v="6"/>
    <x v="0"/>
    <s v="Room cleanliness issue"/>
    <n v="45"/>
    <x v="0"/>
  </r>
  <r>
    <s v="P92292"/>
    <x v="30"/>
    <d v="1899-12-30T17:30:00"/>
    <x v="1"/>
    <x v="1"/>
    <s v="Needs improvement"/>
    <n v="45"/>
    <x v="1"/>
  </r>
  <r>
    <s v="P46858"/>
    <x v="31"/>
    <d v="1899-12-30T15:30:00"/>
    <x v="5"/>
    <x v="5"/>
    <s v="Average"/>
    <n v="45"/>
    <x v="0"/>
  </r>
  <r>
    <s v="P10337"/>
    <x v="6"/>
    <d v="1899-12-30T10:00:00"/>
    <x v="3"/>
    <x v="3"/>
    <s v="Highly recommended"/>
    <n v="30"/>
    <x v="0"/>
  </r>
  <r>
    <s v="P76416"/>
    <x v="32"/>
    <d v="1899-12-30T13:30:00"/>
    <x v="5"/>
    <x v="7"/>
    <s v="Very good"/>
    <n v="45"/>
    <x v="0"/>
  </r>
  <r>
    <s v="P47558"/>
    <x v="33"/>
    <d v="1899-12-30T16:30:00"/>
    <x v="1"/>
    <x v="3"/>
    <s v="Amazing team"/>
    <n v="30"/>
    <x v="0"/>
  </r>
  <r>
    <s v="P10851"/>
    <x v="34"/>
    <d v="1899-12-30T16:30:00"/>
    <x v="6"/>
    <x v="6"/>
    <s v="Helpful staff"/>
    <n v="45"/>
    <x v="0"/>
  </r>
  <r>
    <s v="P70960"/>
    <x v="35"/>
    <d v="1899-12-30T08:30:00"/>
    <x v="6"/>
    <x v="1"/>
    <s v="Long wait times"/>
    <n v="45"/>
    <x v="1"/>
  </r>
  <r>
    <s v="P62667"/>
    <x v="36"/>
    <d v="1899-12-30T13:00:00"/>
    <x v="6"/>
    <x v="5"/>
    <s v="Average"/>
    <n v="45"/>
    <x v="0"/>
  </r>
  <r>
    <s v="P56742"/>
    <x v="37"/>
    <d v="1899-12-30T13:30:00"/>
    <x v="4"/>
    <x v="3"/>
    <s v="Good service"/>
    <n v="30"/>
    <x v="0"/>
  </r>
  <r>
    <s v="P30132"/>
    <x v="38"/>
    <d v="1899-12-30T17:00:00"/>
    <x v="4"/>
    <x v="3"/>
    <s v="Amazing team"/>
    <n v="30"/>
    <x v="0"/>
  </r>
  <r>
    <s v="P43686"/>
    <x v="39"/>
    <d v="1899-12-30T12:30:00"/>
    <x v="3"/>
    <x v="6"/>
    <s v="Helpful staff"/>
    <n v="45"/>
    <x v="0"/>
  </r>
  <r>
    <s v="P43188"/>
    <x v="40"/>
    <d v="1899-12-30T18:30:00"/>
    <x v="3"/>
    <x v="0"/>
    <s v="Delayed response"/>
    <n v="45"/>
    <x v="0"/>
  </r>
  <r>
    <s v="P35517"/>
    <x v="41"/>
    <d v="1899-12-30T09:30:00"/>
    <x v="0"/>
    <x v="5"/>
    <s v="Average"/>
    <n v="45"/>
    <x v="0"/>
  </r>
  <r>
    <s v="P87789"/>
    <x v="42"/>
    <d v="1899-12-30T16:00:00"/>
    <x v="1"/>
    <x v="3"/>
    <s v="Highly recommended"/>
    <n v="30"/>
    <x v="0"/>
  </r>
  <r>
    <s v="P76847"/>
    <x v="43"/>
    <d v="1899-12-30T09:30:00"/>
    <x v="1"/>
    <x v="6"/>
    <s v="Child-friendly staff"/>
    <n v="45"/>
    <x v="0"/>
  </r>
  <r>
    <s v="P97899"/>
    <x v="44"/>
    <d v="1899-12-30T10:00:00"/>
    <x v="3"/>
    <x v="5"/>
    <s v="Average"/>
    <n v="45"/>
    <x v="0"/>
  </r>
  <r>
    <s v="P67499"/>
    <x v="45"/>
    <d v="1899-12-30T18:30:00"/>
    <x v="2"/>
    <x v="2"/>
    <s v="Efficient process"/>
    <n v="45"/>
    <x v="0"/>
  </r>
  <r>
    <s v="P22024"/>
    <x v="46"/>
    <d v="1899-12-30T18:00:00"/>
    <x v="3"/>
    <x v="6"/>
    <s v="Child-friendly staff"/>
    <n v="45"/>
    <x v="0"/>
  </r>
  <r>
    <s v="P61654"/>
    <x v="47"/>
    <d v="1899-12-30T09:30:00"/>
    <x v="4"/>
    <x v="0"/>
    <s v="Room cleanliness issue"/>
    <n v="45"/>
    <x v="0"/>
  </r>
  <r>
    <s v="P25059"/>
    <x v="48"/>
    <d v="1899-12-30T11:00:00"/>
    <x v="1"/>
    <x v="1"/>
    <s v="Needs improvement"/>
    <n v="45"/>
    <x v="1"/>
  </r>
  <r>
    <s v="P80104"/>
    <x v="3"/>
    <d v="1899-12-30T12:00:00"/>
    <x v="0"/>
    <x v="3"/>
    <s v="Excellent care"/>
    <n v="30"/>
    <x v="0"/>
  </r>
  <r>
    <s v="P89217"/>
    <x v="49"/>
    <d v="1899-12-30T18:00:00"/>
    <x v="0"/>
    <x v="4"/>
    <s v="Efficient process"/>
    <n v="45"/>
    <x v="0"/>
  </r>
  <r>
    <s v="P40896"/>
    <x v="50"/>
    <d v="1899-12-30T15:30:00"/>
    <x v="0"/>
    <x v="3"/>
    <s v="Amazing team"/>
    <n v="30"/>
    <x v="0"/>
  </r>
  <r>
    <s v="P86378"/>
    <x v="24"/>
    <s v="N/A"/>
    <x v="3"/>
    <x v="0"/>
    <s v="Delayed response"/>
    <n v="45"/>
    <x v="0"/>
  </r>
  <r>
    <s v="P93573"/>
    <x v="51"/>
    <d v="1899-12-30T16:30:00"/>
    <x v="5"/>
    <x v="0"/>
    <s v="Delayed response"/>
    <n v="45"/>
    <x v="0"/>
  </r>
  <r>
    <s v="P27259"/>
    <x v="52"/>
    <d v="1899-12-30T15:30:00"/>
    <x v="3"/>
    <x v="1"/>
    <s v="Long wait times"/>
    <n v="45"/>
    <x v="1"/>
  </r>
  <r>
    <s v="P11866"/>
    <x v="41"/>
    <d v="1899-12-30T18:00:00"/>
    <x v="6"/>
    <x v="1"/>
    <s v="Needs improvement"/>
    <n v="45"/>
    <x v="1"/>
  </r>
  <r>
    <s v="P82148"/>
    <x v="53"/>
    <d v="1899-12-30T18:00:00"/>
    <x v="5"/>
    <x v="3"/>
    <s v="Good service"/>
    <n v="30"/>
    <x v="0"/>
  </r>
  <r>
    <s v="P96356"/>
    <x v="54"/>
    <d v="1899-12-30T09:00:00"/>
    <x v="3"/>
    <x v="3"/>
    <s v="Amazing team"/>
    <n v="30"/>
    <x v="0"/>
  </r>
  <r>
    <s v="P95475"/>
    <x v="55"/>
    <d v="1899-12-30T16:00:00"/>
    <x v="3"/>
    <x v="7"/>
    <s v="Very good"/>
    <n v="45"/>
    <x v="0"/>
  </r>
  <r>
    <s v="P24760"/>
    <x v="45"/>
    <d v="1899-12-30T11:30:00"/>
    <x v="5"/>
    <x v="3"/>
    <s v="Amazing team"/>
    <n v="30"/>
    <x v="0"/>
  </r>
  <r>
    <s v="P94013"/>
    <x v="1"/>
    <d v="1899-12-30T17:30:00"/>
    <x v="0"/>
    <x v="5"/>
    <s v="Average"/>
    <n v="45"/>
    <x v="0"/>
  </r>
  <r>
    <s v="P28262"/>
    <x v="56"/>
    <d v="1899-12-30T11:00:00"/>
    <x v="3"/>
    <x v="6"/>
    <s v="Satisfactory"/>
    <n v="45"/>
    <x v="0"/>
  </r>
  <r>
    <s v="P27012"/>
    <x v="57"/>
    <d v="1899-12-30T18:30:00"/>
    <x v="6"/>
    <x v="4"/>
    <s v="Great doctors"/>
    <n v="45"/>
    <x v="0"/>
  </r>
  <r>
    <s v="P14071"/>
    <x v="0"/>
    <s v="N/A"/>
    <x v="5"/>
    <x v="3"/>
    <s v="Amazing team"/>
    <n v="30"/>
    <x v="0"/>
  </r>
  <r>
    <s v="P42600"/>
    <x v="58"/>
    <d v="1899-12-30T16:30:00"/>
    <x v="6"/>
    <x v="1"/>
    <s v="Long wait times"/>
    <n v="45"/>
    <x v="1"/>
  </r>
  <r>
    <s v="P59519"/>
    <x v="35"/>
    <d v="1899-12-30T12:00:00"/>
    <x v="5"/>
    <x v="4"/>
    <s v="Efficient process"/>
    <n v="45"/>
    <x v="0"/>
  </r>
  <r>
    <s v="P87869"/>
    <x v="59"/>
    <d v="1899-12-30T17:00:00"/>
    <x v="6"/>
    <x v="3"/>
    <s v="Highly recommended"/>
    <n v="30"/>
    <x v="0"/>
  </r>
  <r>
    <s v="P57426"/>
    <x v="60"/>
    <d v="1899-12-30T18:30:00"/>
    <x v="0"/>
    <x v="3"/>
    <s v="Amazing team"/>
    <n v="30"/>
    <x v="0"/>
  </r>
  <r>
    <s v="P77563"/>
    <x v="61"/>
    <d v="1899-12-30T08:00:00"/>
    <x v="3"/>
    <x v="3"/>
    <s v="Good service"/>
    <n v="30"/>
    <x v="0"/>
  </r>
  <r>
    <s v="P29377"/>
    <x v="62"/>
    <d v="1899-12-30T18:00:00"/>
    <x v="1"/>
    <x v="4"/>
    <s v="Efficient process"/>
    <n v="45"/>
    <x v="0"/>
  </r>
  <r>
    <s v="P68223"/>
    <x v="34"/>
    <d v="1899-12-30T11:30:00"/>
    <x v="3"/>
    <x v="4"/>
    <s v="Efficient process"/>
    <n v="45"/>
    <x v="0"/>
  </r>
  <r>
    <s v="P55949"/>
    <x v="63"/>
    <d v="1899-12-30T18:30:00"/>
    <x v="4"/>
    <x v="3"/>
    <s v="Excellent care"/>
    <n v="30"/>
    <x v="0"/>
  </r>
  <r>
    <s v="P23588"/>
    <x v="64"/>
    <d v="1899-12-30T08:00:00"/>
    <x v="0"/>
    <x v="4"/>
    <s v="Efficient process"/>
    <n v="45"/>
    <x v="0"/>
  </r>
  <r>
    <s v="P73075"/>
    <x v="65"/>
    <d v="1899-12-30T09:00:00"/>
    <x v="5"/>
    <x v="0"/>
    <s v="Delayed response"/>
    <n v="45"/>
    <x v="0"/>
  </r>
  <r>
    <s v="P82492"/>
    <x v="66"/>
    <d v="1899-12-30T12:00:00"/>
    <x v="3"/>
    <x v="7"/>
    <s v="Very good"/>
    <n v="45"/>
    <x v="0"/>
  </r>
  <r>
    <s v="P77493"/>
    <x v="67"/>
    <d v="1899-12-30T15:00:00"/>
    <x v="1"/>
    <x v="4"/>
    <s v="Efficient process"/>
    <n v="45"/>
    <x v="0"/>
  </r>
  <r>
    <s v="P22316"/>
    <x v="68"/>
    <d v="1899-12-30T14:00:00"/>
    <x v="1"/>
    <x v="3"/>
    <s v="N/A"/>
    <n v="30"/>
    <x v="0"/>
  </r>
  <r>
    <s v="P49994"/>
    <x v="69"/>
    <d v="1899-12-30T17:00:00"/>
    <x v="6"/>
    <x v="0"/>
    <s v="Delayed response"/>
    <n v="45"/>
    <x v="0"/>
  </r>
  <r>
    <s v="P71033"/>
    <x v="70"/>
    <d v="1899-12-30T16:00:00"/>
    <x v="5"/>
    <x v="1"/>
    <s v="Long wait times"/>
    <n v="45"/>
    <x v="1"/>
  </r>
  <r>
    <s v="P28668"/>
    <x v="71"/>
    <d v="1899-12-30T12:00:00"/>
    <x v="0"/>
    <x v="6"/>
    <s v="Satisfactory"/>
    <n v="45"/>
    <x v="0"/>
  </r>
  <r>
    <s v="P76574"/>
    <x v="72"/>
    <d v="1899-12-30T16:30:00"/>
    <x v="0"/>
    <x v="0"/>
    <s v="Room cleanliness issue"/>
    <n v="45"/>
    <x v="0"/>
  </r>
  <r>
    <s v="P34541"/>
    <x v="57"/>
    <d v="1899-12-30T16:30:00"/>
    <x v="5"/>
    <x v="3"/>
    <s v="Highly recommended"/>
    <n v="30"/>
    <x v="0"/>
  </r>
  <r>
    <s v="P50275"/>
    <x v="12"/>
    <s v="N/A"/>
    <x v="5"/>
    <x v="3"/>
    <s v="Excellent care"/>
    <n v="30"/>
    <x v="0"/>
  </r>
  <r>
    <s v="P28861"/>
    <x v="73"/>
    <d v="1899-12-30T08:00:00"/>
    <x v="4"/>
    <x v="3"/>
    <s v="Highly recommended"/>
    <n v="30"/>
    <x v="0"/>
  </r>
  <r>
    <s v="P11217"/>
    <x v="74"/>
    <d v="1899-12-30T17:30:00"/>
    <x v="0"/>
    <x v="4"/>
    <s v="Efficient process"/>
    <n v="45"/>
    <x v="0"/>
  </r>
  <r>
    <s v="P56741"/>
    <x v="75"/>
    <d v="1899-12-30T17:30:00"/>
    <x v="5"/>
    <x v="6"/>
    <s v="Child-friendly staff"/>
    <n v="45"/>
    <x v="0"/>
  </r>
  <r>
    <s v="P19592"/>
    <x v="75"/>
    <d v="1899-12-30T17:00:00"/>
    <x v="4"/>
    <x v="4"/>
    <s v="Great doctors"/>
    <n v="45"/>
    <x v="0"/>
  </r>
  <r>
    <s v="P94928"/>
    <x v="76"/>
    <d v="1899-12-30T15:00:00"/>
    <x v="1"/>
    <x v="6"/>
    <s v="Satisfactory"/>
    <n v="45"/>
    <x v="0"/>
  </r>
  <r>
    <s v="P73844"/>
    <x v="77"/>
    <d v="1899-12-30T17:00:00"/>
    <x v="1"/>
    <x v="0"/>
    <s v="Room cleanliness issue"/>
    <n v="45"/>
    <x v="0"/>
  </r>
  <r>
    <s v="P50711"/>
    <x v="78"/>
    <d v="1899-12-30T14:00:00"/>
    <x v="6"/>
    <x v="4"/>
    <s v="Efficient process"/>
    <n v="45"/>
    <x v="0"/>
  </r>
  <r>
    <s v="P30920"/>
    <x v="79"/>
    <d v="1899-12-30T11:00:00"/>
    <x v="4"/>
    <x v="6"/>
    <s v="Satisfactory"/>
    <n v="45"/>
    <x v="0"/>
  </r>
  <r>
    <s v="P26650"/>
    <x v="80"/>
    <d v="1899-12-30T18:30:00"/>
    <x v="1"/>
    <x v="0"/>
    <s v="Room cleanliness issue"/>
    <n v="45"/>
    <x v="0"/>
  </r>
  <r>
    <s v="P22791"/>
    <x v="81"/>
    <d v="1899-12-30T16:00:00"/>
    <x v="5"/>
    <x v="3"/>
    <s v="Highly recommended"/>
    <n v="30"/>
    <x v="0"/>
  </r>
  <r>
    <s v="P17310"/>
    <x v="49"/>
    <d v="1899-12-30T16:00:00"/>
    <x v="6"/>
    <x v="7"/>
    <s v="Very good"/>
    <n v="45"/>
    <x v="0"/>
  </r>
  <r>
    <s v="P61087"/>
    <x v="82"/>
    <d v="1899-12-30T08:30:00"/>
    <x v="4"/>
    <x v="3"/>
    <s v="Amazing team"/>
    <n v="30"/>
    <x v="0"/>
  </r>
  <r>
    <s v="P81824"/>
    <x v="83"/>
    <d v="1899-12-30T10:30:00"/>
    <x v="3"/>
    <x v="0"/>
    <s v="Room cleanliness issue"/>
    <n v="45"/>
    <x v="0"/>
  </r>
  <r>
    <s v="P24131"/>
    <x v="61"/>
    <d v="1899-12-30T12:00:00"/>
    <x v="0"/>
    <x v="0"/>
    <s v="Delayed response"/>
    <n v="45"/>
    <x v="0"/>
  </r>
  <r>
    <s v="P38330"/>
    <x v="84"/>
    <d v="1899-12-30T18:30:00"/>
    <x v="5"/>
    <x v="7"/>
    <s v="Very good"/>
    <n v="45"/>
    <x v="0"/>
  </r>
  <r>
    <s v="P65114"/>
    <x v="85"/>
    <d v="1899-12-30T10:00:00"/>
    <x v="1"/>
    <x v="3"/>
    <s v="Excellent care"/>
    <n v="30"/>
    <x v="0"/>
  </r>
  <r>
    <s v="P88218"/>
    <x v="86"/>
    <d v="1899-12-30T10:30:00"/>
    <x v="4"/>
    <x v="4"/>
    <s v="Efficient process"/>
    <n v="45"/>
    <x v="0"/>
  </r>
  <r>
    <s v="P34644"/>
    <x v="87"/>
    <d v="1899-12-30T12:30:00"/>
    <x v="3"/>
    <x v="0"/>
    <s v="Delayed response"/>
    <n v="45"/>
    <x v="0"/>
  </r>
  <r>
    <s v="P29322"/>
    <x v="88"/>
    <d v="1899-12-30T18:30:00"/>
    <x v="3"/>
    <x v="6"/>
    <s v="Satisfactory"/>
    <n v="45"/>
    <x v="0"/>
  </r>
  <r>
    <s v="P64103"/>
    <x v="35"/>
    <d v="1899-12-30T09:00:00"/>
    <x v="2"/>
    <x v="2"/>
    <s v="N/A"/>
    <n v="41.479591839999998"/>
    <x v="0"/>
  </r>
  <r>
    <s v="P31843"/>
    <x v="32"/>
    <d v="1899-12-30T10:30:00"/>
    <x v="6"/>
    <x v="0"/>
    <s v="Delayed response"/>
    <n v="45"/>
    <x v="0"/>
  </r>
  <r>
    <s v="P33026"/>
    <x v="89"/>
    <d v="1899-12-30T08:30:00"/>
    <x v="1"/>
    <x v="4"/>
    <s v="Great doctors"/>
    <n v="45"/>
    <x v="0"/>
  </r>
  <r>
    <s v="P47436"/>
    <x v="85"/>
    <d v="1899-12-30T14:30:00"/>
    <x v="0"/>
    <x v="4"/>
    <s v="Efficient process"/>
    <n v="45"/>
    <x v="0"/>
  </r>
  <r>
    <s v="P48965"/>
    <x v="90"/>
    <d v="1899-12-30T18:00:00"/>
    <x v="5"/>
    <x v="3"/>
    <s v="Highly recommended"/>
    <n v="30"/>
    <x v="0"/>
  </r>
  <r>
    <s v="P20771"/>
    <x v="91"/>
    <d v="1899-12-30T16:30:00"/>
    <x v="4"/>
    <x v="7"/>
    <s v="Very good"/>
    <n v="45"/>
    <x v="0"/>
  </r>
  <r>
    <s v="P32966"/>
    <x v="92"/>
    <d v="1899-12-30T10:00:00"/>
    <x v="4"/>
    <x v="7"/>
    <s v="Very good"/>
    <n v="45"/>
    <x v="0"/>
  </r>
  <r>
    <s v="P65077"/>
    <x v="93"/>
    <d v="1899-12-30T11:00:00"/>
    <x v="6"/>
    <x v="0"/>
    <s v="Delayed response"/>
    <n v="45"/>
    <x v="0"/>
  </r>
  <r>
    <s v="P30147"/>
    <x v="94"/>
    <d v="1899-12-30T18:00:00"/>
    <x v="5"/>
    <x v="1"/>
    <s v="Long wait times"/>
    <n v="45"/>
    <x v="1"/>
  </r>
  <r>
    <s v="P48563"/>
    <x v="95"/>
    <s v="N/A"/>
    <x v="4"/>
    <x v="0"/>
    <s v="Delayed response"/>
    <n v="45"/>
    <x v="0"/>
  </r>
  <r>
    <s v="P54890"/>
    <x v="25"/>
    <d v="1899-12-30T08:00:00"/>
    <x v="5"/>
    <x v="0"/>
    <s v="Room cleanliness issue"/>
    <n v="45"/>
    <x v="0"/>
  </r>
  <r>
    <s v="P77589"/>
    <x v="96"/>
    <d v="1899-12-30T10:00:00"/>
    <x v="4"/>
    <x v="1"/>
    <s v="Long wait times"/>
    <n v="45"/>
    <x v="1"/>
  </r>
  <r>
    <s v="P59917"/>
    <x v="68"/>
    <d v="1899-12-30T10:00:00"/>
    <x v="6"/>
    <x v="6"/>
    <s v="Satisfactory"/>
    <n v="45"/>
    <x v="0"/>
  </r>
  <r>
    <s v="P89260"/>
    <x v="97"/>
    <d v="1899-12-30T17:00:00"/>
    <x v="5"/>
    <x v="3"/>
    <s v="Amazing team"/>
    <n v="30"/>
    <x v="0"/>
  </r>
  <r>
    <s v="P22612"/>
    <x v="80"/>
    <d v="1899-12-30T17:00:00"/>
    <x v="1"/>
    <x v="3"/>
    <s v="Good service"/>
    <n v="30"/>
    <x v="0"/>
  </r>
  <r>
    <s v="P10983"/>
    <x v="98"/>
    <d v="1899-12-30T17:00:00"/>
    <x v="3"/>
    <x v="6"/>
    <s v="Helpful staff"/>
    <n v="45"/>
    <x v="0"/>
  </r>
  <r>
    <s v="P61404"/>
    <x v="3"/>
    <d v="1899-12-30T11:30:00"/>
    <x v="0"/>
    <x v="4"/>
    <s v="Efficient process"/>
    <n v="45"/>
    <x v="0"/>
  </r>
  <r>
    <s v="P68408"/>
    <x v="1"/>
    <d v="1899-12-30T12:00:00"/>
    <x v="3"/>
    <x v="4"/>
    <s v="Great doctors"/>
    <n v="45"/>
    <x v="0"/>
  </r>
  <r>
    <s v="P80709"/>
    <x v="99"/>
    <d v="1899-12-30T15:30:00"/>
    <x v="0"/>
    <x v="0"/>
    <s v="Delayed response"/>
    <n v="45"/>
    <x v="0"/>
  </r>
  <r>
    <s v="P22483"/>
    <x v="100"/>
    <d v="1899-12-30T14:00:00"/>
    <x v="1"/>
    <x v="1"/>
    <s v="Long wait times"/>
    <n v="45"/>
    <x v="1"/>
  </r>
  <r>
    <s v="P29433"/>
    <x v="101"/>
    <d v="1899-12-30T13:30:00"/>
    <x v="6"/>
    <x v="0"/>
    <s v="Delayed response"/>
    <n v="45"/>
    <x v="0"/>
  </r>
  <r>
    <s v="P63392"/>
    <x v="47"/>
    <d v="1899-12-30T15:00:00"/>
    <x v="1"/>
    <x v="6"/>
    <s v="Satisfactory"/>
    <n v="45"/>
    <x v="0"/>
  </r>
  <r>
    <s v="P24186"/>
    <x v="102"/>
    <d v="1899-12-30T15:30:00"/>
    <x v="6"/>
    <x v="6"/>
    <s v="Helpful staff"/>
    <n v="45"/>
    <x v="0"/>
  </r>
  <r>
    <s v="P12075"/>
    <x v="103"/>
    <d v="1899-12-30T09:00:00"/>
    <x v="4"/>
    <x v="0"/>
    <s v="Delayed response"/>
    <n v="45"/>
    <x v="0"/>
  </r>
  <r>
    <s v="P36565"/>
    <x v="104"/>
    <d v="1899-12-30T11:00:00"/>
    <x v="5"/>
    <x v="3"/>
    <s v="Highly recommended"/>
    <n v="30"/>
    <x v="0"/>
  </r>
  <r>
    <s v="P17033"/>
    <x v="105"/>
    <d v="1899-12-30T12:30:00"/>
    <x v="1"/>
    <x v="1"/>
    <s v="Long wait times"/>
    <n v="45"/>
    <x v="1"/>
  </r>
  <r>
    <s v="P53406"/>
    <x v="106"/>
    <d v="1899-12-30T17:30:00"/>
    <x v="0"/>
    <x v="1"/>
    <s v="Long wait times"/>
    <n v="45"/>
    <x v="1"/>
  </r>
  <r>
    <s v="P74577"/>
    <x v="8"/>
    <d v="1899-12-30T10:00:00"/>
    <x v="5"/>
    <x v="4"/>
    <s v="Efficient process"/>
    <n v="45"/>
    <x v="0"/>
  </r>
  <r>
    <s v="P54686"/>
    <x v="107"/>
    <d v="1899-12-30T13:00:00"/>
    <x v="0"/>
    <x v="3"/>
    <s v="Amazing team"/>
    <n v="30"/>
    <x v="0"/>
  </r>
  <r>
    <s v="P15042"/>
    <x v="85"/>
    <d v="1899-12-30T17:30:00"/>
    <x v="2"/>
    <x v="5"/>
    <s v="N/A"/>
    <n v="45"/>
    <x v="0"/>
  </r>
  <r>
    <s v="P66658"/>
    <x v="108"/>
    <d v="1899-12-30T14:30:00"/>
    <x v="5"/>
    <x v="3"/>
    <s v="Amazing team"/>
    <n v="30"/>
    <x v="0"/>
  </r>
  <r>
    <s v="P46158"/>
    <x v="109"/>
    <d v="1899-12-30T11:00:00"/>
    <x v="0"/>
    <x v="3"/>
    <s v="Highly recommended"/>
    <n v="30"/>
    <x v="0"/>
  </r>
  <r>
    <s v="P47910"/>
    <x v="110"/>
    <d v="1899-12-30T18:30:00"/>
    <x v="1"/>
    <x v="4"/>
    <s v="Efficient process"/>
    <n v="45"/>
    <x v="0"/>
  </r>
  <r>
    <s v="P69894"/>
    <x v="110"/>
    <d v="1899-12-30T17:30:00"/>
    <x v="4"/>
    <x v="3"/>
    <s v="Good service"/>
    <n v="30"/>
    <x v="0"/>
  </r>
  <r>
    <s v="P86247"/>
    <x v="111"/>
    <d v="1899-12-30T10:00:00"/>
    <x v="4"/>
    <x v="5"/>
    <s v="Average"/>
    <n v="45"/>
    <x v="0"/>
  </r>
  <r>
    <s v="P31668"/>
    <x v="0"/>
    <s v="N/A"/>
    <x v="4"/>
    <x v="1"/>
    <s v="Needs improvement"/>
    <n v="45"/>
    <x v="1"/>
  </r>
  <r>
    <s v="P42193"/>
    <x v="12"/>
    <d v="1899-12-30T12:00:00"/>
    <x v="6"/>
    <x v="4"/>
    <s v="Efficient process"/>
    <n v="45"/>
    <x v="0"/>
  </r>
  <r>
    <s v="P29032"/>
    <x v="112"/>
    <d v="1899-12-30T11:30:00"/>
    <x v="4"/>
    <x v="1"/>
    <s v="Long wait times"/>
    <n v="45"/>
    <x v="1"/>
  </r>
  <r>
    <s v="P72811"/>
    <x v="113"/>
    <d v="1899-12-30T18:30:00"/>
    <x v="1"/>
    <x v="1"/>
    <s v="Needs improvement"/>
    <n v="45"/>
    <x v="1"/>
  </r>
  <r>
    <s v="P96259"/>
    <x v="11"/>
    <d v="1899-12-30T09:00:00"/>
    <x v="1"/>
    <x v="0"/>
    <s v="Room cleanliness issue"/>
    <n v="45"/>
    <x v="0"/>
  </r>
  <r>
    <s v="P44251"/>
    <x v="114"/>
    <d v="1899-12-30T17:00:00"/>
    <x v="3"/>
    <x v="0"/>
    <s v="Room cleanliness issue"/>
    <n v="45"/>
    <x v="0"/>
  </r>
  <r>
    <s v="P16884"/>
    <x v="115"/>
    <d v="1899-12-30T13:30:00"/>
    <x v="4"/>
    <x v="4"/>
    <s v="Efficient process"/>
    <n v="45"/>
    <x v="0"/>
  </r>
  <r>
    <s v="P81817"/>
    <x v="116"/>
    <d v="1899-12-30T08:30:00"/>
    <x v="6"/>
    <x v="1"/>
    <s v="Needs improvement"/>
    <n v="45"/>
    <x v="1"/>
  </r>
  <r>
    <s v="P77843"/>
    <x v="117"/>
    <d v="1899-12-30T12:30:00"/>
    <x v="0"/>
    <x v="3"/>
    <s v="Good service"/>
    <n v="30"/>
    <x v="0"/>
  </r>
  <r>
    <s v="P57937"/>
    <x v="118"/>
    <d v="1899-12-30T14:00:00"/>
    <x v="0"/>
    <x v="4"/>
    <s v="Great doctors"/>
    <n v="45"/>
    <x v="0"/>
  </r>
  <r>
    <s v="P82099"/>
    <x v="69"/>
    <d v="1899-12-30T15:30:00"/>
    <x v="1"/>
    <x v="4"/>
    <s v="Efficient process"/>
    <n v="45"/>
    <x v="0"/>
  </r>
  <r>
    <s v="P94085"/>
    <x v="119"/>
    <d v="1899-12-30T13:00:00"/>
    <x v="4"/>
    <x v="3"/>
    <s v="Amazing team"/>
    <n v="30"/>
    <x v="0"/>
  </r>
  <r>
    <s v="P50596"/>
    <x v="120"/>
    <d v="1899-12-30T10:30:00"/>
    <x v="4"/>
    <x v="5"/>
    <s v="Average"/>
    <n v="45"/>
    <x v="0"/>
  </r>
  <r>
    <s v="P52297"/>
    <x v="68"/>
    <d v="1899-12-30T12:00:00"/>
    <x v="3"/>
    <x v="0"/>
    <s v="Delayed response"/>
    <n v="45"/>
    <x v="0"/>
  </r>
  <r>
    <s v="P69830"/>
    <x v="8"/>
    <d v="1899-12-30T12:00:00"/>
    <x v="2"/>
    <x v="2"/>
    <s v="Efficient process"/>
    <n v="45"/>
    <x v="0"/>
  </r>
  <r>
    <s v="P95953"/>
    <x v="121"/>
    <d v="1899-12-30T09:30:00"/>
    <x v="0"/>
    <x v="4"/>
    <s v="Efficient process"/>
    <n v="45"/>
    <x v="0"/>
  </r>
  <r>
    <s v="P84949"/>
    <x v="35"/>
    <d v="1899-12-30T18:00:00"/>
    <x v="4"/>
    <x v="1"/>
    <s v="Needs improvement"/>
    <n v="45"/>
    <x v="1"/>
  </r>
  <r>
    <s v="P53519"/>
    <x v="122"/>
    <d v="1899-12-30T08:00:00"/>
    <x v="3"/>
    <x v="0"/>
    <s v="Delayed response"/>
    <n v="45"/>
    <x v="0"/>
  </r>
  <r>
    <s v="P38037"/>
    <x v="123"/>
    <d v="1899-12-30T14:00:00"/>
    <x v="4"/>
    <x v="3"/>
    <s v="Highly recommended"/>
    <n v="30"/>
    <x v="0"/>
  </r>
  <r>
    <s v="P28397"/>
    <x v="124"/>
    <d v="1899-12-30T14:30:00"/>
    <x v="4"/>
    <x v="7"/>
    <s v="Long wait times"/>
    <n v="45"/>
    <x v="0"/>
  </r>
  <r>
    <s v="P41694"/>
    <x v="119"/>
    <d v="1899-12-30T15:00:00"/>
    <x v="5"/>
    <x v="0"/>
    <s v="Long wait times"/>
    <n v="45"/>
    <x v="0"/>
  </r>
  <r>
    <s v="P86657"/>
    <x v="12"/>
    <s v="N/A"/>
    <x v="5"/>
    <x v="3"/>
    <s v="Excellent care"/>
    <n v="30"/>
    <x v="0"/>
  </r>
  <r>
    <s v="P87617"/>
    <x v="125"/>
    <d v="1899-12-30T12:30:00"/>
    <x v="4"/>
    <x v="0"/>
    <s v="Delayed response"/>
    <n v="45"/>
    <x v="0"/>
  </r>
  <r>
    <s v="P28106"/>
    <x v="126"/>
    <d v="1899-12-30T11:00:00"/>
    <x v="1"/>
    <x v="4"/>
    <s v="Efficient process"/>
    <n v="45"/>
    <x v="0"/>
  </r>
  <r>
    <s v="P81675"/>
    <x v="127"/>
    <d v="1899-12-30T11:00:00"/>
    <x v="6"/>
    <x v="0"/>
    <s v="Long wait times"/>
    <n v="45"/>
    <x v="0"/>
  </r>
  <r>
    <s v="P42541"/>
    <x v="128"/>
    <d v="1899-12-30T11:00:00"/>
    <x v="1"/>
    <x v="6"/>
    <s v="Child-friendly staff"/>
    <n v="45"/>
    <x v="0"/>
  </r>
  <r>
    <s v="P90961"/>
    <x v="125"/>
    <d v="1899-12-30T17:30:00"/>
    <x v="1"/>
    <x v="3"/>
    <s v="Good service"/>
    <n v="30"/>
    <x v="0"/>
  </r>
  <r>
    <s v="P89375"/>
    <x v="129"/>
    <d v="1899-12-30T17:00:00"/>
    <x v="5"/>
    <x v="4"/>
    <s v="Great doctors"/>
    <n v="45"/>
    <x v="0"/>
  </r>
  <r>
    <s v="P50132"/>
    <x v="115"/>
    <d v="1899-12-30T08:00:00"/>
    <x v="0"/>
    <x v="7"/>
    <s v="Very good"/>
    <n v="45"/>
    <x v="0"/>
  </r>
  <r>
    <s v="P32413"/>
    <x v="130"/>
    <d v="1899-12-30T18:00:00"/>
    <x v="5"/>
    <x v="1"/>
    <s v="Needs improvement"/>
    <n v="45"/>
    <x v="1"/>
  </r>
  <r>
    <s v="P22184"/>
    <x v="131"/>
    <d v="1899-12-30T15:00:00"/>
    <x v="5"/>
    <x v="7"/>
    <s v="Very good"/>
    <n v="45"/>
    <x v="0"/>
  </r>
  <r>
    <s v="P50298"/>
    <x v="132"/>
    <d v="1899-12-30T08:00:00"/>
    <x v="0"/>
    <x v="0"/>
    <s v="Room cleanliness issue"/>
    <n v="45"/>
    <x v="0"/>
  </r>
  <r>
    <s v="P36715"/>
    <x v="133"/>
    <d v="1899-12-30T13:00:00"/>
    <x v="0"/>
    <x v="3"/>
    <s v="Highly recommended"/>
    <n v="30"/>
    <x v="0"/>
  </r>
  <r>
    <s v="P88279"/>
    <x v="134"/>
    <d v="1899-12-30T08:00:00"/>
    <x v="4"/>
    <x v="6"/>
    <s v="Child-friendly staff"/>
    <n v="45"/>
    <x v="0"/>
  </r>
  <r>
    <s v="P55468"/>
    <x v="31"/>
    <d v="1899-12-30T09:30:00"/>
    <x v="4"/>
    <x v="6"/>
    <s v="Helpful staff"/>
    <n v="45"/>
    <x v="0"/>
  </r>
  <r>
    <s v="P22511"/>
    <x v="135"/>
    <d v="1899-12-30T15:00:00"/>
    <x v="0"/>
    <x v="4"/>
    <s v="Efficient process"/>
    <n v="45"/>
    <x v="0"/>
  </r>
  <r>
    <s v="P95021"/>
    <x v="136"/>
    <d v="1899-12-30T16:00:00"/>
    <x v="0"/>
    <x v="3"/>
    <s v="Excellent care"/>
    <n v="30"/>
    <x v="0"/>
  </r>
  <r>
    <s v="P43786"/>
    <x v="137"/>
    <d v="1899-12-30T09:00:00"/>
    <x v="4"/>
    <x v="3"/>
    <s v="Highly recommended"/>
    <n v="30"/>
    <x v="0"/>
  </r>
  <r>
    <s v="P18635"/>
    <x v="138"/>
    <d v="1899-12-30T14:30:00"/>
    <x v="4"/>
    <x v="7"/>
    <s v="Very good"/>
    <n v="45"/>
    <x v="0"/>
  </r>
  <r>
    <s v="P28088"/>
    <x v="40"/>
    <d v="1899-12-30T12:00:00"/>
    <x v="6"/>
    <x v="0"/>
    <s v="Delayed response"/>
    <n v="45"/>
    <x v="0"/>
  </r>
  <r>
    <s v="P88045"/>
    <x v="139"/>
    <d v="1899-12-30T18:30:00"/>
    <x v="3"/>
    <x v="7"/>
    <s v="Very good"/>
    <n v="45"/>
    <x v="0"/>
  </r>
  <r>
    <s v="P95964"/>
    <x v="93"/>
    <d v="1899-12-30T08:00:00"/>
    <x v="4"/>
    <x v="4"/>
    <s v="Efficient process"/>
    <n v="45"/>
    <x v="0"/>
  </r>
  <r>
    <s v="P32057"/>
    <x v="140"/>
    <d v="1899-12-30T12:00:00"/>
    <x v="5"/>
    <x v="4"/>
    <s v="Efficient process"/>
    <n v="45"/>
    <x v="0"/>
  </r>
  <r>
    <s v="P32295"/>
    <x v="77"/>
    <d v="1899-12-30T08:30:00"/>
    <x v="0"/>
    <x v="3"/>
    <s v="Excellent care"/>
    <n v="30"/>
    <x v="0"/>
  </r>
  <r>
    <s v="P40762"/>
    <x v="141"/>
    <d v="1899-12-30T12:00:00"/>
    <x v="3"/>
    <x v="5"/>
    <s v="Average"/>
    <n v="45"/>
    <x v="0"/>
  </r>
  <r>
    <s v="P86619"/>
    <x v="142"/>
    <d v="1899-12-30T16:30:00"/>
    <x v="3"/>
    <x v="5"/>
    <s v="Average"/>
    <n v="45"/>
    <x v="0"/>
  </r>
  <r>
    <s v="P13916"/>
    <x v="91"/>
    <s v="N/A"/>
    <x v="6"/>
    <x v="7"/>
    <s v="Very good"/>
    <n v="45"/>
    <x v="0"/>
  </r>
  <r>
    <s v="P90601"/>
    <x v="143"/>
    <d v="1899-12-30T08:00:00"/>
    <x v="3"/>
    <x v="6"/>
    <s v="Satisfactory"/>
    <n v="45"/>
    <x v="0"/>
  </r>
  <r>
    <s v="P22337"/>
    <x v="144"/>
    <d v="1899-12-30T16:00:00"/>
    <x v="5"/>
    <x v="1"/>
    <s v="Long wait times"/>
    <n v="45"/>
    <x v="1"/>
  </r>
  <r>
    <s v="P60677"/>
    <x v="145"/>
    <d v="1899-12-30T14:30:00"/>
    <x v="3"/>
    <x v="4"/>
    <s v="Efficient process"/>
    <n v="45"/>
    <x v="0"/>
  </r>
  <r>
    <s v="P75831"/>
    <x v="146"/>
    <d v="1899-12-30T16:00:00"/>
    <x v="5"/>
    <x v="0"/>
    <s v="Delayed response"/>
    <n v="45"/>
    <x v="0"/>
  </r>
  <r>
    <s v="P68253"/>
    <x v="147"/>
    <d v="1899-12-30T14:00:00"/>
    <x v="6"/>
    <x v="1"/>
    <s v="Long wait times"/>
    <n v="45"/>
    <x v="1"/>
  </r>
  <r>
    <s v="P14650"/>
    <x v="148"/>
    <d v="1899-12-30T15:30:00"/>
    <x v="0"/>
    <x v="3"/>
    <s v="Amazing team"/>
    <n v="30"/>
    <x v="0"/>
  </r>
  <r>
    <s v="P15250"/>
    <x v="149"/>
    <d v="1899-12-30T14:30:00"/>
    <x v="0"/>
    <x v="3"/>
    <s v="Highly recommended"/>
    <n v="30"/>
    <x v="0"/>
  </r>
  <r>
    <s v="P10797"/>
    <x v="150"/>
    <d v="1899-12-30T11:00:00"/>
    <x v="3"/>
    <x v="4"/>
    <s v="Efficient process"/>
    <n v="45"/>
    <x v="0"/>
  </r>
  <r>
    <s v="P30694"/>
    <x v="151"/>
    <d v="1899-12-30T09:30:00"/>
    <x v="6"/>
    <x v="7"/>
    <s v="Very good"/>
    <n v="45"/>
    <x v="0"/>
  </r>
  <r>
    <s v="P59755"/>
    <x v="152"/>
    <d v="1899-12-30T09:00:00"/>
    <x v="2"/>
    <x v="2"/>
    <s v="Highly recommended"/>
    <n v="41.479591839999998"/>
    <x v="0"/>
  </r>
  <r>
    <s v="P80770"/>
    <x v="130"/>
    <d v="1899-12-30T09:00:00"/>
    <x v="5"/>
    <x v="1"/>
    <s v="Needs improvement"/>
    <n v="45"/>
    <x v="1"/>
  </r>
  <r>
    <s v="P67482"/>
    <x v="153"/>
    <d v="1899-12-30T11:30:00"/>
    <x v="5"/>
    <x v="3"/>
    <s v="Amazing team"/>
    <n v="30"/>
    <x v="0"/>
  </r>
  <r>
    <s v="P13204"/>
    <x v="103"/>
    <d v="1899-12-30T11:30:00"/>
    <x v="0"/>
    <x v="5"/>
    <s v="Average"/>
    <n v="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7BB12-62B5-46D6-A1EC-0C3CF98CE1B8}"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6">
    <pivotField showAll="0"/>
    <pivotField axis="axisRow" showAll="0">
      <items count="8">
        <item x="0"/>
        <item x="2"/>
        <item x="4"/>
        <item x="3"/>
        <item x="5"/>
        <item x="1"/>
        <item x="6"/>
        <item t="default"/>
      </items>
    </pivotField>
    <pivotField showAll="0">
      <items count="7">
        <item x="1"/>
        <item x="5"/>
        <item x="4"/>
        <item x="0"/>
        <item x="2"/>
        <item x="3"/>
        <item t="default"/>
      </items>
    </pivotField>
    <pivotField dataField="1" showAll="0"/>
    <pivotField showAll="0"/>
    <pivotField showAll="0"/>
  </pivotFields>
  <rowFields count="1">
    <field x="1"/>
  </rowFields>
  <rowItems count="8">
    <i>
      <x/>
    </i>
    <i>
      <x v="1"/>
    </i>
    <i>
      <x v="2"/>
    </i>
    <i>
      <x v="3"/>
    </i>
    <i>
      <x v="4"/>
    </i>
    <i>
      <x v="5"/>
    </i>
    <i>
      <x v="6"/>
    </i>
    <i t="grand">
      <x/>
    </i>
  </rowItems>
  <colItems count="1">
    <i/>
  </colItems>
  <dataFields count="1">
    <dataField name="Average of UsageHours"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0391A0-7BEF-4986-BB38-238C71227CE7}"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28" firstHeaderRow="1" firstDataRow="2" firstDataCol="1"/>
  <pivotFields count="7">
    <pivotField showAll="0"/>
    <pivotField dataField="1" showAll="0"/>
    <pivotField showAll="0">
      <items count="32">
        <item x="1"/>
        <item x="5"/>
        <item x="13"/>
        <item x="20"/>
        <item x="16"/>
        <item x="7"/>
        <item x="12"/>
        <item x="24"/>
        <item x="19"/>
        <item x="29"/>
        <item x="25"/>
        <item x="28"/>
        <item x="15"/>
        <item x="30"/>
        <item x="23"/>
        <item x="3"/>
        <item x="4"/>
        <item x="14"/>
        <item x="0"/>
        <item x="17"/>
        <item x="8"/>
        <item x="11"/>
        <item x="27"/>
        <item x="2"/>
        <item x="26"/>
        <item x="9"/>
        <item x="10"/>
        <item x="18"/>
        <item x="6"/>
        <item x="22"/>
        <item x="21"/>
        <item t="default"/>
      </items>
    </pivotField>
    <pivotField axis="axisCol" showAll="0">
      <items count="8">
        <item x="0"/>
        <item x="2"/>
        <item x="6"/>
        <item x="3"/>
        <item x="5"/>
        <item x="1"/>
        <item x="4"/>
        <item t="default"/>
      </items>
    </pivotField>
    <pivotField showAll="0">
      <items count="155">
        <item x="24"/>
        <item x="0"/>
        <item x="142"/>
        <item x="55"/>
        <item x="94"/>
        <item x="12"/>
        <item x="87"/>
        <item x="57"/>
        <item x="14"/>
        <item x="42"/>
        <item x="149"/>
        <item x="112"/>
        <item x="144"/>
        <item x="26"/>
        <item x="47"/>
        <item x="122"/>
        <item x="117"/>
        <item x="127"/>
        <item x="123"/>
        <item x="136"/>
        <item x="13"/>
        <item x="43"/>
        <item x="121"/>
        <item x="139"/>
        <item x="45"/>
        <item x="132"/>
        <item x="5"/>
        <item x="138"/>
        <item x="97"/>
        <item x="50"/>
        <item x="147"/>
        <item x="85"/>
        <item x="131"/>
        <item x="49"/>
        <item x="36"/>
        <item x="115"/>
        <item x="151"/>
        <item x="38"/>
        <item x="98"/>
        <item x="65"/>
        <item x="6"/>
        <item x="30"/>
        <item x="75"/>
        <item x="35"/>
        <item x="141"/>
        <item x="82"/>
        <item x="77"/>
        <item x="64"/>
        <item x="9"/>
        <item x="90"/>
        <item x="128"/>
        <item x="114"/>
        <item x="62"/>
        <item x="60"/>
        <item x="34"/>
        <item x="133"/>
        <item x="100"/>
        <item x="145"/>
        <item x="84"/>
        <item x="153"/>
        <item x="129"/>
        <item x="148"/>
        <item x="134"/>
        <item x="83"/>
        <item x="72"/>
        <item x="111"/>
        <item x="92"/>
        <item x="31"/>
        <item x="118"/>
        <item x="80"/>
        <item x="79"/>
        <item x="146"/>
        <item x="61"/>
        <item x="10"/>
        <item x="67"/>
        <item x="110"/>
        <item x="44"/>
        <item x="76"/>
        <item x="93"/>
        <item x="126"/>
        <item x="18"/>
        <item x="91"/>
        <item x="125"/>
        <item x="3"/>
        <item x="140"/>
        <item x="59"/>
        <item x="25"/>
        <item x="96"/>
        <item x="107"/>
        <item x="63"/>
        <item x="130"/>
        <item x="108"/>
        <item x="68"/>
        <item x="39"/>
        <item x="40"/>
        <item x="99"/>
        <item x="4"/>
        <item x="53"/>
        <item x="11"/>
        <item x="27"/>
        <item x="17"/>
        <item x="73"/>
        <item x="150"/>
        <item x="86"/>
        <item x="74"/>
        <item x="105"/>
        <item x="106"/>
        <item x="95"/>
        <item x="71"/>
        <item x="102"/>
        <item x="1"/>
        <item x="52"/>
        <item x="51"/>
        <item x="8"/>
        <item x="124"/>
        <item x="104"/>
        <item x="143"/>
        <item x="113"/>
        <item x="7"/>
        <item x="101"/>
        <item x="41"/>
        <item x="15"/>
        <item x="46"/>
        <item x="69"/>
        <item x="137"/>
        <item x="135"/>
        <item x="81"/>
        <item x="37"/>
        <item x="89"/>
        <item x="116"/>
        <item x="70"/>
        <item x="16"/>
        <item x="119"/>
        <item x="58"/>
        <item x="88"/>
        <item x="120"/>
        <item x="28"/>
        <item x="54"/>
        <item x="103"/>
        <item x="48"/>
        <item x="109"/>
        <item x="21"/>
        <item x="20"/>
        <item x="23"/>
        <item x="29"/>
        <item x="2"/>
        <item x="22"/>
        <item x="152"/>
        <item x="32"/>
        <item x="33"/>
        <item x="56"/>
        <item x="66"/>
        <item x="19"/>
        <item x="78"/>
        <item t="default"/>
      </items>
    </pivotField>
    <pivotField axis="axisRow" showAll="0">
      <items count="24">
        <item x="0"/>
        <item x="9"/>
        <item x="8"/>
        <item x="19"/>
        <item x="13"/>
        <item x="14"/>
        <item x="22"/>
        <item x="6"/>
        <item x="20"/>
        <item x="18"/>
        <item x="12"/>
        <item x="1"/>
        <item x="7"/>
        <item x="21"/>
        <item x="10"/>
        <item x="2"/>
        <item x="3"/>
        <item x="11"/>
        <item x="16"/>
        <item x="17"/>
        <item x="5"/>
        <item x="4"/>
        <item x="15"/>
        <item t="default"/>
      </items>
    </pivotField>
    <pivotField showAll="0"/>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3"/>
  </colFields>
  <colItems count="8">
    <i>
      <x/>
    </i>
    <i>
      <x v="1"/>
    </i>
    <i>
      <x v="2"/>
    </i>
    <i>
      <x v="3"/>
    </i>
    <i>
      <x v="4"/>
    </i>
    <i>
      <x v="5"/>
    </i>
    <i>
      <x v="6"/>
    </i>
    <i t="grand">
      <x/>
    </i>
  </colItems>
  <dataFields count="1">
    <dataField name="Count of Appointment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C84EC4-FC12-4BB9-812A-70CACBB5C7C5}"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7" firstHeaderRow="1" firstDataRow="2" firstDataCol="1"/>
  <pivotFields count="8">
    <pivotField showAll="0"/>
    <pivotField showAll="0">
      <items count="155">
        <item x="24"/>
        <item x="0"/>
        <item x="141"/>
        <item x="55"/>
        <item x="94"/>
        <item x="12"/>
        <item x="87"/>
        <item x="57"/>
        <item x="14"/>
        <item x="42"/>
        <item x="149"/>
        <item x="111"/>
        <item x="144"/>
        <item x="26"/>
        <item x="47"/>
        <item x="121"/>
        <item x="116"/>
        <item x="126"/>
        <item x="122"/>
        <item x="135"/>
        <item x="13"/>
        <item x="43"/>
        <item x="120"/>
        <item x="138"/>
        <item x="45"/>
        <item x="131"/>
        <item x="5"/>
        <item x="137"/>
        <item x="97"/>
        <item x="50"/>
        <item x="147"/>
        <item x="85"/>
        <item x="130"/>
        <item x="49"/>
        <item x="36"/>
        <item x="114"/>
        <item x="151"/>
        <item x="38"/>
        <item x="98"/>
        <item x="65"/>
        <item x="6"/>
        <item x="30"/>
        <item x="75"/>
        <item x="35"/>
        <item x="140"/>
        <item x="82"/>
        <item x="77"/>
        <item x="64"/>
        <item x="9"/>
        <item x="90"/>
        <item x="127"/>
        <item x="113"/>
        <item x="62"/>
        <item x="60"/>
        <item x="34"/>
        <item x="132"/>
        <item x="100"/>
        <item x="145"/>
        <item x="84"/>
        <item x="153"/>
        <item x="128"/>
        <item x="148"/>
        <item x="133"/>
        <item x="83"/>
        <item x="72"/>
        <item x="110"/>
        <item x="92"/>
        <item x="31"/>
        <item x="117"/>
        <item x="80"/>
        <item x="79"/>
        <item x="146"/>
        <item x="61"/>
        <item x="10"/>
        <item x="67"/>
        <item x="109"/>
        <item x="44"/>
        <item x="76"/>
        <item x="93"/>
        <item x="125"/>
        <item x="18"/>
        <item x="91"/>
        <item x="124"/>
        <item x="3"/>
        <item x="139"/>
        <item x="59"/>
        <item x="25"/>
        <item x="96"/>
        <item x="106"/>
        <item x="63"/>
        <item x="129"/>
        <item x="107"/>
        <item x="68"/>
        <item x="39"/>
        <item x="40"/>
        <item x="99"/>
        <item x="4"/>
        <item x="53"/>
        <item x="11"/>
        <item x="27"/>
        <item x="17"/>
        <item x="73"/>
        <item x="150"/>
        <item x="86"/>
        <item x="74"/>
        <item x="104"/>
        <item x="105"/>
        <item x="95"/>
        <item x="71"/>
        <item x="143"/>
        <item x="1"/>
        <item x="52"/>
        <item x="51"/>
        <item x="8"/>
        <item x="123"/>
        <item x="103"/>
        <item x="142"/>
        <item x="112"/>
        <item x="7"/>
        <item x="101"/>
        <item x="41"/>
        <item x="15"/>
        <item x="46"/>
        <item x="69"/>
        <item x="136"/>
        <item x="134"/>
        <item x="81"/>
        <item x="37"/>
        <item x="89"/>
        <item x="115"/>
        <item x="70"/>
        <item x="16"/>
        <item x="118"/>
        <item x="58"/>
        <item x="88"/>
        <item x="119"/>
        <item x="28"/>
        <item x="54"/>
        <item x="102"/>
        <item x="48"/>
        <item x="108"/>
        <item x="21"/>
        <item x="20"/>
        <item x="23"/>
        <item x="29"/>
        <item x="2"/>
        <item x="22"/>
        <item x="152"/>
        <item x="32"/>
        <item x="33"/>
        <item x="56"/>
        <item x="66"/>
        <item x="19"/>
        <item x="78"/>
        <item t="default"/>
      </items>
    </pivotField>
    <pivotField showAll="0"/>
    <pivotField axis="axisCol" showAll="0">
      <items count="8">
        <item x="0"/>
        <item x="6"/>
        <item x="2"/>
        <item x="3"/>
        <item x="5"/>
        <item x="1"/>
        <item x="4"/>
        <item t="default"/>
      </items>
    </pivotField>
    <pivotField dataField="1" showAll="0">
      <items count="9">
        <item x="1"/>
        <item x="0"/>
        <item x="5"/>
        <item x="7"/>
        <item x="2"/>
        <item x="6"/>
        <item x="4"/>
        <item x="3"/>
        <item t="default"/>
      </items>
    </pivotField>
    <pivotField showAll="0"/>
    <pivotField showAll="0"/>
    <pivotField axis="axisRow" showAll="0">
      <items count="3">
        <item x="0"/>
        <item x="1"/>
        <item t="default"/>
      </items>
    </pivotField>
  </pivotFields>
  <rowFields count="1">
    <field x="7"/>
  </rowFields>
  <rowItems count="3">
    <i>
      <x/>
    </i>
    <i>
      <x v="1"/>
    </i>
    <i t="grand">
      <x/>
    </i>
  </rowItems>
  <colFields count="1">
    <field x="3"/>
  </colFields>
  <colItems count="8">
    <i>
      <x/>
    </i>
    <i>
      <x v="1"/>
    </i>
    <i>
      <x v="2"/>
    </i>
    <i>
      <x v="3"/>
    </i>
    <i>
      <x v="4"/>
    </i>
    <i>
      <x v="5"/>
    </i>
    <i>
      <x v="6"/>
    </i>
    <i t="grand">
      <x/>
    </i>
  </colItems>
  <dataFields count="1">
    <dataField name="Average of Feedback Score" fld="4"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urceType" xr10:uid="{505E5A57-F8CC-488B-8268-C4F224C27889}" sourceName="ResourceType">
  <pivotTables>
    <pivotTable tabId="7" name="PivotTable1"/>
  </pivotTables>
  <data>
    <tabular pivotCacheId="186464287">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ID" xr10:uid="{C2D8DF44-EEED-40F2-993D-7F15D2AFC747}" sourceName="DoctorID">
  <pivotTables>
    <pivotTable tabId="8" name="PivotTable2"/>
  </pivotTables>
  <data>
    <tabular pivotCacheId="667880064">
      <items count="31">
        <i x="1" s="1"/>
        <i x="5" s="1"/>
        <i x="13" s="1"/>
        <i x="20" s="1"/>
        <i x="16" s="1"/>
        <i x="7" s="1"/>
        <i x="12" s="1"/>
        <i x="24" s="1"/>
        <i x="19" s="1"/>
        <i x="29" s="1"/>
        <i x="25" s="1"/>
        <i x="28" s="1"/>
        <i x="15" s="1"/>
        <i x="30" s="1"/>
        <i x="23" s="1"/>
        <i x="3" s="1"/>
        <i x="4" s="1"/>
        <i x="14" s="1"/>
        <i x="0" s="1"/>
        <i x="17" s="1"/>
        <i x="8" s="1"/>
        <i x="11" s="1"/>
        <i x="27" s="1"/>
        <i x="2" s="1"/>
        <i x="26" s="1"/>
        <i x="9" s="1"/>
        <i x="10" s="1"/>
        <i x="18" s="1"/>
        <i x="6" s="1"/>
        <i x="22"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ourceType" xr10:uid="{83C034B7-C4D9-4A63-838E-1E702EFAED0E}" cache="Slicer_ResourceType" caption="Resource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ID" xr10:uid="{AECD6A9B-AA2F-45CB-84BF-AE9F2359E6E6}" cache="Slicer_DoctorID" caption="DoctorI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B1C9-2F7E-437E-AD80-716F0E507374}">
  <dimension ref="A1:G200"/>
  <sheetViews>
    <sheetView workbookViewId="0">
      <selection activeCell="G1" sqref="G1"/>
    </sheetView>
  </sheetViews>
  <sheetFormatPr defaultRowHeight="14.4" x14ac:dyDescent="0.3"/>
  <cols>
    <col min="1" max="1" width="10.44140625" bestFit="1" customWidth="1"/>
    <col min="2" max="2" width="8.5546875" bestFit="1" customWidth="1"/>
    <col min="3" max="3" width="15.33203125" bestFit="1" customWidth="1"/>
    <col min="4" max="4" width="13.77734375" bestFit="1" customWidth="1"/>
    <col min="5" max="5" width="19.77734375" bestFit="1" customWidth="1"/>
    <col min="6" max="6" width="15.44140625" bestFit="1" customWidth="1"/>
  </cols>
  <sheetData>
    <row r="1" spans="1:7" x14ac:dyDescent="0.3">
      <c r="A1" t="s">
        <v>0</v>
      </c>
      <c r="B1" t="s">
        <v>1</v>
      </c>
      <c r="C1" t="s">
        <v>2</v>
      </c>
      <c r="D1" t="s">
        <v>3</v>
      </c>
      <c r="E1" t="s">
        <v>4</v>
      </c>
      <c r="F1" t="s">
        <v>5</v>
      </c>
      <c r="G1" t="e">
        <f>VLOOKUP(A2, CHOOSE({1,2}, appointment_data!A:A, appointment_data!C:C), 2, FALSE)</f>
        <v>#N/A</v>
      </c>
    </row>
    <row r="2" spans="1:7" x14ac:dyDescent="0.3">
      <c r="A2" t="s">
        <v>6</v>
      </c>
      <c r="B2" t="s">
        <v>7</v>
      </c>
      <c r="C2" t="s">
        <v>8</v>
      </c>
      <c r="D2">
        <v>4</v>
      </c>
      <c r="E2" t="s">
        <v>9</v>
      </c>
      <c r="F2">
        <v>45</v>
      </c>
      <c r="G2" t="str">
        <f>VLOOKUP(TRIM(B2), appointment_data!A:Z, 2, FALSE)</f>
        <v>N/A</v>
      </c>
    </row>
    <row r="3" spans="1:7" x14ac:dyDescent="0.3">
      <c r="A3" t="s">
        <v>10</v>
      </c>
      <c r="B3" t="s">
        <v>11</v>
      </c>
      <c r="C3" t="s">
        <v>12</v>
      </c>
      <c r="D3">
        <v>3</v>
      </c>
      <c r="E3" t="s">
        <v>13</v>
      </c>
      <c r="F3">
        <v>45</v>
      </c>
      <c r="G3" t="str">
        <f>VLOOKUP(TRIM(B4), appointment_data!A:Z, 2, FALSE)</f>
        <v>A7537</v>
      </c>
    </row>
    <row r="4" spans="1:7" x14ac:dyDescent="0.3">
      <c r="A4" t="s">
        <v>14</v>
      </c>
      <c r="B4" t="s">
        <v>15</v>
      </c>
      <c r="C4" t="s">
        <v>864</v>
      </c>
      <c r="D4">
        <v>6.2849740929999998</v>
      </c>
      <c r="E4" t="s">
        <v>16</v>
      </c>
      <c r="F4">
        <v>30</v>
      </c>
      <c r="G4" t="str">
        <f>VLOOKUP(TRIM(B5), appointment_data!A:Z, 2, FALSE)</f>
        <v>A8866</v>
      </c>
    </row>
    <row r="5" spans="1:7" x14ac:dyDescent="0.3">
      <c r="A5" t="s">
        <v>17</v>
      </c>
      <c r="B5" t="s">
        <v>18</v>
      </c>
      <c r="C5" t="s">
        <v>19</v>
      </c>
      <c r="D5">
        <v>9</v>
      </c>
      <c r="E5" t="s">
        <v>20</v>
      </c>
      <c r="F5">
        <v>30</v>
      </c>
      <c r="G5" t="str">
        <f>VLOOKUP(TRIM(B6), appointment_data!A:Z, 2, FALSE)</f>
        <v>A3039</v>
      </c>
    </row>
    <row r="6" spans="1:7" x14ac:dyDescent="0.3">
      <c r="A6" t="s">
        <v>21</v>
      </c>
      <c r="B6" t="s">
        <v>22</v>
      </c>
      <c r="C6" t="s">
        <v>23</v>
      </c>
      <c r="D6">
        <v>8</v>
      </c>
      <c r="E6" t="s">
        <v>24</v>
      </c>
      <c r="F6">
        <v>45</v>
      </c>
      <c r="G6" t="str">
        <f>VLOOKUP(TRIM(B7), appointment_data!A:Z, 2, FALSE)</f>
        <v>A3237</v>
      </c>
    </row>
    <row r="7" spans="1:7" x14ac:dyDescent="0.3">
      <c r="A7" t="s">
        <v>25</v>
      </c>
      <c r="B7" t="s">
        <v>26</v>
      </c>
      <c r="C7" t="s">
        <v>23</v>
      </c>
      <c r="D7">
        <v>5</v>
      </c>
      <c r="E7" t="s">
        <v>27</v>
      </c>
      <c r="F7">
        <v>45</v>
      </c>
      <c r="G7" t="str">
        <f>VLOOKUP(TRIM(B8), appointment_data!A:Z, 2, FALSE)</f>
        <v>A8127</v>
      </c>
    </row>
    <row r="8" spans="1:7" x14ac:dyDescent="0.3">
      <c r="A8" t="s">
        <v>28</v>
      </c>
      <c r="B8" t="s">
        <v>29</v>
      </c>
      <c r="C8" t="s">
        <v>19</v>
      </c>
      <c r="D8">
        <v>4</v>
      </c>
      <c r="E8" t="s">
        <v>9</v>
      </c>
      <c r="F8">
        <v>45</v>
      </c>
      <c r="G8" t="str">
        <f>VLOOKUP(TRIM(B9), appointment_data!A:Z, 2, FALSE)</f>
        <v>A7025</v>
      </c>
    </row>
    <row r="9" spans="1:7" x14ac:dyDescent="0.3">
      <c r="A9" t="s">
        <v>30</v>
      </c>
      <c r="B9" t="s">
        <v>31</v>
      </c>
      <c r="C9" t="s">
        <v>19</v>
      </c>
      <c r="D9">
        <v>7</v>
      </c>
      <c r="E9" t="s">
        <v>32</v>
      </c>
      <c r="F9">
        <v>45</v>
      </c>
      <c r="G9" t="str">
        <f>VLOOKUP(TRIM(B10), appointment_data!A:Z, 2, FALSE)</f>
        <v>A8462</v>
      </c>
    </row>
    <row r="10" spans="1:7" x14ac:dyDescent="0.3">
      <c r="A10" t="s">
        <v>33</v>
      </c>
      <c r="B10" t="s">
        <v>34</v>
      </c>
      <c r="C10" t="s">
        <v>8</v>
      </c>
      <c r="D10">
        <v>7</v>
      </c>
      <c r="E10" t="s">
        <v>32</v>
      </c>
      <c r="F10">
        <v>45</v>
      </c>
      <c r="G10" t="str">
        <f>VLOOKUP(TRIM(B11), appointment_data!A:Z, 2, FALSE)</f>
        <v>A9018</v>
      </c>
    </row>
    <row r="11" spans="1:7" x14ac:dyDescent="0.3">
      <c r="A11" t="s">
        <v>35</v>
      </c>
      <c r="B11" t="s">
        <v>36</v>
      </c>
      <c r="C11" t="s">
        <v>12</v>
      </c>
      <c r="D11">
        <v>4</v>
      </c>
      <c r="E11" t="s">
        <v>9</v>
      </c>
      <c r="F11">
        <v>45</v>
      </c>
      <c r="G11" t="str">
        <f>VLOOKUP(TRIM(B12), appointment_data!A:Z, 2, FALSE)</f>
        <v>A7791</v>
      </c>
    </row>
    <row r="12" spans="1:7" x14ac:dyDescent="0.3">
      <c r="A12" t="s">
        <v>37</v>
      </c>
      <c r="B12" t="s">
        <v>38</v>
      </c>
      <c r="C12" t="s">
        <v>12</v>
      </c>
      <c r="D12">
        <v>4</v>
      </c>
      <c r="E12" t="s">
        <v>39</v>
      </c>
      <c r="F12">
        <v>45</v>
      </c>
      <c r="G12" t="str">
        <f>VLOOKUP(TRIM(B13), appointment_data!A:Z, 2, FALSE)</f>
        <v>A4362</v>
      </c>
    </row>
    <row r="13" spans="1:7" x14ac:dyDescent="0.3">
      <c r="A13" t="s">
        <v>40</v>
      </c>
      <c r="B13" t="s">
        <v>41</v>
      </c>
      <c r="C13" t="s">
        <v>12</v>
      </c>
      <c r="D13">
        <v>3</v>
      </c>
      <c r="E13" t="s">
        <v>42</v>
      </c>
      <c r="F13">
        <v>45</v>
      </c>
      <c r="G13" t="str">
        <f>VLOOKUP(TRIM(B14), appointment_data!A:Z, 2, FALSE)</f>
        <v>N/A</v>
      </c>
    </row>
    <row r="14" spans="1:7" x14ac:dyDescent="0.3">
      <c r="A14" t="s">
        <v>43</v>
      </c>
      <c r="B14" t="s">
        <v>44</v>
      </c>
      <c r="C14" t="s">
        <v>23</v>
      </c>
      <c r="D14">
        <v>7</v>
      </c>
      <c r="E14" t="s">
        <v>32</v>
      </c>
      <c r="F14">
        <v>45</v>
      </c>
      <c r="G14" t="str">
        <f>VLOOKUP(TRIM(B15), appointment_data!A:Z, 2, FALSE)</f>
        <v>A1132</v>
      </c>
    </row>
    <row r="15" spans="1:7" x14ac:dyDescent="0.3">
      <c r="A15" t="s">
        <v>45</v>
      </c>
      <c r="B15" t="s">
        <v>46</v>
      </c>
      <c r="C15" t="s">
        <v>8</v>
      </c>
      <c r="D15">
        <v>3</v>
      </c>
      <c r="E15" t="s">
        <v>42</v>
      </c>
      <c r="F15">
        <v>45</v>
      </c>
      <c r="G15" t="str">
        <f>VLOOKUP(TRIM(B16), appointment_data!A:Z, 2, FALSE)</f>
        <v>A6499</v>
      </c>
    </row>
    <row r="16" spans="1:7" x14ac:dyDescent="0.3">
      <c r="A16" t="s">
        <v>47</v>
      </c>
      <c r="B16" t="s">
        <v>48</v>
      </c>
      <c r="C16" t="s">
        <v>12</v>
      </c>
      <c r="D16">
        <v>3</v>
      </c>
      <c r="E16" t="s">
        <v>42</v>
      </c>
      <c r="F16">
        <v>45</v>
      </c>
      <c r="G16" t="str">
        <f>VLOOKUP(TRIM(B17), appointment_data!A:Z, 2, FALSE)</f>
        <v>A2196</v>
      </c>
    </row>
    <row r="17" spans="1:7" x14ac:dyDescent="0.3">
      <c r="A17" t="s">
        <v>49</v>
      </c>
      <c r="B17" t="s">
        <v>50</v>
      </c>
      <c r="C17" t="s">
        <v>19</v>
      </c>
      <c r="D17">
        <v>6</v>
      </c>
      <c r="E17" t="s">
        <v>51</v>
      </c>
      <c r="F17">
        <v>45</v>
      </c>
      <c r="G17" t="str">
        <f>VLOOKUP(TRIM(B18), appointment_data!A:Z, 2, FALSE)</f>
        <v>A7135</v>
      </c>
    </row>
    <row r="18" spans="1:7" x14ac:dyDescent="0.3">
      <c r="A18" t="s">
        <v>52</v>
      </c>
      <c r="B18" t="s">
        <v>53</v>
      </c>
      <c r="C18" t="s">
        <v>19</v>
      </c>
      <c r="D18">
        <v>5</v>
      </c>
      <c r="E18" t="s">
        <v>54</v>
      </c>
      <c r="F18">
        <v>45</v>
      </c>
      <c r="G18" t="str">
        <f>VLOOKUP(TRIM(B19), appointment_data!A:Z, 2, FALSE)</f>
        <v>A8788</v>
      </c>
    </row>
    <row r="19" spans="1:7" x14ac:dyDescent="0.3">
      <c r="A19" t="s">
        <v>55</v>
      </c>
      <c r="B19" t="s">
        <v>56</v>
      </c>
      <c r="C19" t="s">
        <v>864</v>
      </c>
      <c r="D19">
        <v>6.2849740929999998</v>
      </c>
      <c r="E19" t="s">
        <v>57</v>
      </c>
      <c r="F19">
        <v>41.479591839999998</v>
      </c>
      <c r="G19" t="str">
        <f>VLOOKUP(TRIM(B20), appointment_data!A:Z, 2, FALSE)</f>
        <v>A1284</v>
      </c>
    </row>
    <row r="20" spans="1:7" x14ac:dyDescent="0.3">
      <c r="A20" t="s">
        <v>58</v>
      </c>
      <c r="B20" t="s">
        <v>59</v>
      </c>
      <c r="C20" t="s">
        <v>19</v>
      </c>
      <c r="D20">
        <v>8</v>
      </c>
      <c r="E20" t="s">
        <v>60</v>
      </c>
      <c r="F20">
        <v>45</v>
      </c>
      <c r="G20" t="str">
        <f>VLOOKUP(TRIM(B21), appointment_data!A:Z, 2, FALSE)</f>
        <v>A7527</v>
      </c>
    </row>
    <row r="21" spans="1:7" x14ac:dyDescent="0.3">
      <c r="A21" t="s">
        <v>61</v>
      </c>
      <c r="B21" t="s">
        <v>62</v>
      </c>
      <c r="C21" t="s">
        <v>8</v>
      </c>
      <c r="D21">
        <v>8</v>
      </c>
      <c r="E21" t="s">
        <v>24</v>
      </c>
      <c r="F21">
        <v>45</v>
      </c>
      <c r="G21" t="str">
        <f>VLOOKUP(TRIM(B22), appointment_data!A:Z, 2, FALSE)</f>
        <v>A5514</v>
      </c>
    </row>
    <row r="22" spans="1:7" x14ac:dyDescent="0.3">
      <c r="A22" t="s">
        <v>63</v>
      </c>
      <c r="B22" t="s">
        <v>64</v>
      </c>
      <c r="C22" t="s">
        <v>65</v>
      </c>
      <c r="D22">
        <v>3</v>
      </c>
      <c r="E22" t="s">
        <v>13</v>
      </c>
      <c r="F22">
        <v>45</v>
      </c>
      <c r="G22" t="str">
        <f>VLOOKUP(TRIM(B23), appointment_data!A:Z, 2, FALSE)</f>
        <v>A4853</v>
      </c>
    </row>
    <row r="23" spans="1:7" x14ac:dyDescent="0.3">
      <c r="A23" t="s">
        <v>66</v>
      </c>
      <c r="B23" t="s">
        <v>67</v>
      </c>
      <c r="C23" t="s">
        <v>23</v>
      </c>
      <c r="D23">
        <v>4</v>
      </c>
      <c r="E23" t="s">
        <v>9</v>
      </c>
      <c r="F23">
        <v>45</v>
      </c>
      <c r="G23" t="str">
        <f>VLOOKUP(TRIM(B24), appointment_data!A:Z, 2, FALSE)</f>
        <v>A4504</v>
      </c>
    </row>
    <row r="24" spans="1:7" x14ac:dyDescent="0.3">
      <c r="A24" t="s">
        <v>68</v>
      </c>
      <c r="B24" t="s">
        <v>69</v>
      </c>
      <c r="C24" t="s">
        <v>70</v>
      </c>
      <c r="D24">
        <v>7</v>
      </c>
      <c r="E24" t="s">
        <v>32</v>
      </c>
      <c r="F24">
        <v>45</v>
      </c>
      <c r="G24" t="str">
        <f>VLOOKUP(TRIM(B25), appointment_data!A:Z, 2, FALSE)</f>
        <v>A2106</v>
      </c>
    </row>
    <row r="25" spans="1:7" x14ac:dyDescent="0.3">
      <c r="A25" t="s">
        <v>71</v>
      </c>
      <c r="B25" t="s">
        <v>72</v>
      </c>
      <c r="C25" t="s">
        <v>70</v>
      </c>
      <c r="D25">
        <v>4</v>
      </c>
      <c r="E25" t="s">
        <v>9</v>
      </c>
      <c r="F25">
        <v>45</v>
      </c>
      <c r="G25" t="str">
        <f>VLOOKUP(TRIM(B26), appointment_data!A:Z, 2, FALSE)</f>
        <v>N/A</v>
      </c>
    </row>
    <row r="26" spans="1:7" x14ac:dyDescent="0.3">
      <c r="A26" t="s">
        <v>73</v>
      </c>
      <c r="B26" t="s">
        <v>74</v>
      </c>
      <c r="C26" t="s">
        <v>70</v>
      </c>
      <c r="D26">
        <v>9</v>
      </c>
      <c r="E26" t="s">
        <v>75</v>
      </c>
      <c r="F26">
        <v>30</v>
      </c>
      <c r="G26" t="str">
        <f>VLOOKUP(TRIM(B27), appointment_data!A:Z, 2, FALSE)</f>
        <v>A6156</v>
      </c>
    </row>
    <row r="27" spans="1:7" x14ac:dyDescent="0.3">
      <c r="A27" t="s">
        <v>76</v>
      </c>
      <c r="B27" t="s">
        <v>77</v>
      </c>
      <c r="C27" t="s">
        <v>23</v>
      </c>
      <c r="D27">
        <v>4</v>
      </c>
      <c r="E27" t="s">
        <v>9</v>
      </c>
      <c r="F27">
        <v>45</v>
      </c>
      <c r="G27" t="str">
        <f>VLOOKUP(TRIM(B28), appointment_data!A:Z, 2, FALSE)</f>
        <v>A2963</v>
      </c>
    </row>
    <row r="28" spans="1:7" x14ac:dyDescent="0.3">
      <c r="A28" t="s">
        <v>78</v>
      </c>
      <c r="B28" t="s">
        <v>79</v>
      </c>
      <c r="C28" t="s">
        <v>12</v>
      </c>
      <c r="D28">
        <v>7</v>
      </c>
      <c r="E28" t="s">
        <v>32</v>
      </c>
      <c r="F28">
        <v>45</v>
      </c>
      <c r="G28" t="str">
        <f>VLOOKUP(TRIM(B29), appointment_data!A:Z, 2, FALSE)</f>
        <v>A1511</v>
      </c>
    </row>
    <row r="29" spans="1:7" x14ac:dyDescent="0.3">
      <c r="A29" t="s">
        <v>80</v>
      </c>
      <c r="B29" t="s">
        <v>81</v>
      </c>
      <c r="C29" t="s">
        <v>23</v>
      </c>
      <c r="D29">
        <v>7</v>
      </c>
      <c r="E29" t="s">
        <v>27</v>
      </c>
      <c r="F29">
        <v>45</v>
      </c>
      <c r="G29" t="str">
        <f>VLOOKUP(TRIM(B30), appointment_data!A:Z, 2, FALSE)</f>
        <v>A1949</v>
      </c>
    </row>
    <row r="30" spans="1:7" x14ac:dyDescent="0.3">
      <c r="A30" t="s">
        <v>82</v>
      </c>
      <c r="B30" t="s">
        <v>83</v>
      </c>
      <c r="C30" t="s">
        <v>23</v>
      </c>
      <c r="D30">
        <v>3</v>
      </c>
      <c r="E30" t="s">
        <v>13</v>
      </c>
      <c r="F30">
        <v>45</v>
      </c>
      <c r="G30" t="str">
        <f>VLOOKUP(TRIM(B31), appointment_data!A:Z, 2, FALSE)</f>
        <v>A9088</v>
      </c>
    </row>
    <row r="31" spans="1:7" x14ac:dyDescent="0.3">
      <c r="A31" t="s">
        <v>84</v>
      </c>
      <c r="B31" t="s">
        <v>85</v>
      </c>
      <c r="C31" t="s">
        <v>19</v>
      </c>
      <c r="D31">
        <v>9</v>
      </c>
      <c r="E31" t="s">
        <v>16</v>
      </c>
      <c r="F31">
        <v>30</v>
      </c>
      <c r="G31" t="str">
        <f>VLOOKUP(TRIM(B32), appointment_data!A:Z, 2, FALSE)</f>
        <v>A1384</v>
      </c>
    </row>
    <row r="32" spans="1:7" x14ac:dyDescent="0.3">
      <c r="A32" t="s">
        <v>86</v>
      </c>
      <c r="B32" t="s">
        <v>87</v>
      </c>
      <c r="C32" t="s">
        <v>70</v>
      </c>
      <c r="D32">
        <v>4</v>
      </c>
      <c r="E32" t="s">
        <v>39</v>
      </c>
      <c r="F32">
        <v>45</v>
      </c>
      <c r="G32" t="str">
        <f>VLOOKUP(TRIM(B33), appointment_data!A:Z, 2, FALSE)</f>
        <v>A4140</v>
      </c>
    </row>
    <row r="33" spans="1:7" x14ac:dyDescent="0.3">
      <c r="A33" t="s">
        <v>88</v>
      </c>
      <c r="B33" t="s">
        <v>89</v>
      </c>
      <c r="C33" t="s">
        <v>12</v>
      </c>
      <c r="D33">
        <v>3</v>
      </c>
      <c r="E33" t="s">
        <v>13</v>
      </c>
      <c r="F33">
        <v>45</v>
      </c>
      <c r="G33" t="str">
        <f>VLOOKUP(TRIM(B34), appointment_data!A:Z, 2, FALSE)</f>
        <v>A6170</v>
      </c>
    </row>
    <row r="34" spans="1:7" x14ac:dyDescent="0.3">
      <c r="A34" t="s">
        <v>90</v>
      </c>
      <c r="B34" t="s">
        <v>91</v>
      </c>
      <c r="C34" t="s">
        <v>65</v>
      </c>
      <c r="D34">
        <v>5</v>
      </c>
      <c r="E34" t="s">
        <v>54</v>
      </c>
      <c r="F34">
        <v>45</v>
      </c>
      <c r="G34" t="str">
        <f>VLOOKUP(TRIM(B35), appointment_data!A:Z, 2, FALSE)</f>
        <v>A5704</v>
      </c>
    </row>
    <row r="35" spans="1:7" x14ac:dyDescent="0.3">
      <c r="A35" t="s">
        <v>92</v>
      </c>
      <c r="B35" t="s">
        <v>93</v>
      </c>
      <c r="C35" t="s">
        <v>19</v>
      </c>
      <c r="D35">
        <v>9</v>
      </c>
      <c r="E35" t="s">
        <v>75</v>
      </c>
      <c r="F35">
        <v>30</v>
      </c>
      <c r="G35" t="str">
        <f>VLOOKUP(TRIM(B36), appointment_data!A:Z, 2, FALSE)</f>
        <v>A1762</v>
      </c>
    </row>
    <row r="36" spans="1:7" x14ac:dyDescent="0.3">
      <c r="A36" t="s">
        <v>94</v>
      </c>
      <c r="B36" t="s">
        <v>95</v>
      </c>
      <c r="C36" t="s">
        <v>65</v>
      </c>
      <c r="D36">
        <v>6</v>
      </c>
      <c r="E36" t="s">
        <v>51</v>
      </c>
      <c r="F36">
        <v>45</v>
      </c>
      <c r="G36" t="str">
        <f>VLOOKUP(TRIM(B37), appointment_data!A:Z, 2, FALSE)</f>
        <v>A3377</v>
      </c>
    </row>
    <row r="37" spans="1:7" x14ac:dyDescent="0.3">
      <c r="A37" t="s">
        <v>96</v>
      </c>
      <c r="B37" t="s">
        <v>97</v>
      </c>
      <c r="C37" t="s">
        <v>12</v>
      </c>
      <c r="D37">
        <v>9</v>
      </c>
      <c r="E37" t="s">
        <v>20</v>
      </c>
      <c r="F37">
        <v>30</v>
      </c>
      <c r="G37" t="str">
        <f>VLOOKUP(TRIM(B38), appointment_data!A:Z, 2, FALSE)</f>
        <v>A7484</v>
      </c>
    </row>
    <row r="38" spans="1:7" x14ac:dyDescent="0.3">
      <c r="A38" t="s">
        <v>98</v>
      </c>
      <c r="B38" t="s">
        <v>99</v>
      </c>
      <c r="C38" t="s">
        <v>70</v>
      </c>
      <c r="D38">
        <v>7</v>
      </c>
      <c r="E38" t="s">
        <v>57</v>
      </c>
      <c r="F38">
        <v>45</v>
      </c>
      <c r="G38" t="str">
        <f>VLOOKUP(TRIM(B39), appointment_data!A:Z, 2, FALSE)</f>
        <v>A7950</v>
      </c>
    </row>
    <row r="39" spans="1:7" x14ac:dyDescent="0.3">
      <c r="A39" t="s">
        <v>100</v>
      </c>
      <c r="B39" t="s">
        <v>101</v>
      </c>
      <c r="C39" t="s">
        <v>70</v>
      </c>
      <c r="D39">
        <v>3</v>
      </c>
      <c r="E39" t="s">
        <v>42</v>
      </c>
      <c r="F39">
        <v>45</v>
      </c>
      <c r="G39" t="str">
        <f>VLOOKUP(TRIM(B40), appointment_data!A:Z, 2, FALSE)</f>
        <v>N/A</v>
      </c>
    </row>
    <row r="40" spans="1:7" x14ac:dyDescent="0.3">
      <c r="A40" t="s">
        <v>102</v>
      </c>
      <c r="B40" t="s">
        <v>103</v>
      </c>
      <c r="C40" t="s">
        <v>70</v>
      </c>
      <c r="D40">
        <v>5</v>
      </c>
      <c r="E40" t="s">
        <v>54</v>
      </c>
      <c r="F40">
        <v>45</v>
      </c>
      <c r="G40" t="str">
        <f>VLOOKUP(TRIM(B41), appointment_data!A:Z, 2, FALSE)</f>
        <v>A4062</v>
      </c>
    </row>
    <row r="41" spans="1:7" x14ac:dyDescent="0.3">
      <c r="A41" t="s">
        <v>104</v>
      </c>
      <c r="B41" t="s">
        <v>105</v>
      </c>
      <c r="C41" t="s">
        <v>23</v>
      </c>
      <c r="D41">
        <v>9</v>
      </c>
      <c r="E41" t="s">
        <v>106</v>
      </c>
      <c r="F41">
        <v>30</v>
      </c>
      <c r="G41" t="str">
        <f>VLOOKUP(TRIM(B42), appointment_data!A:Z, 2, FALSE)</f>
        <v>A7608</v>
      </c>
    </row>
    <row r="42" spans="1:7" x14ac:dyDescent="0.3">
      <c r="A42" t="s">
        <v>107</v>
      </c>
      <c r="B42" t="s">
        <v>108</v>
      </c>
      <c r="C42" t="s">
        <v>23</v>
      </c>
      <c r="D42">
        <v>9</v>
      </c>
      <c r="E42" t="s">
        <v>20</v>
      </c>
      <c r="F42">
        <v>30</v>
      </c>
      <c r="G42" t="str">
        <f>VLOOKUP(TRIM(B43), appointment_data!A:Z, 2, FALSE)</f>
        <v>A6966</v>
      </c>
    </row>
    <row r="43" spans="1:7" x14ac:dyDescent="0.3">
      <c r="A43" t="s">
        <v>109</v>
      </c>
      <c r="B43" t="s">
        <v>110</v>
      </c>
      <c r="C43" t="s">
        <v>19</v>
      </c>
      <c r="D43">
        <v>7</v>
      </c>
      <c r="E43" t="s">
        <v>57</v>
      </c>
      <c r="F43">
        <v>45</v>
      </c>
      <c r="G43" t="str">
        <f>VLOOKUP(TRIM(B44), appointment_data!A:Z, 2, FALSE)</f>
        <v>A8149</v>
      </c>
    </row>
    <row r="44" spans="1:7" x14ac:dyDescent="0.3">
      <c r="A44" t="s">
        <v>111</v>
      </c>
      <c r="B44" t="s">
        <v>112</v>
      </c>
      <c r="C44" t="s">
        <v>19</v>
      </c>
      <c r="D44">
        <v>4</v>
      </c>
      <c r="E44" t="s">
        <v>9</v>
      </c>
      <c r="F44">
        <v>45</v>
      </c>
      <c r="G44" t="str">
        <f>VLOOKUP(TRIM(B45), appointment_data!A:Z, 2, FALSE)</f>
        <v>A8665</v>
      </c>
    </row>
    <row r="45" spans="1:7" x14ac:dyDescent="0.3">
      <c r="A45" t="s">
        <v>113</v>
      </c>
      <c r="B45" t="s">
        <v>114</v>
      </c>
      <c r="C45" t="s">
        <v>8</v>
      </c>
      <c r="D45">
        <v>5</v>
      </c>
      <c r="E45" t="s">
        <v>54</v>
      </c>
      <c r="F45">
        <v>45</v>
      </c>
      <c r="G45" t="str">
        <f>VLOOKUP(TRIM(B46), appointment_data!A:Z, 2, FALSE)</f>
        <v>A6187</v>
      </c>
    </row>
    <row r="46" spans="1:7" x14ac:dyDescent="0.3">
      <c r="A46" t="s">
        <v>115</v>
      </c>
      <c r="B46" t="s">
        <v>116</v>
      </c>
      <c r="C46" t="s">
        <v>12</v>
      </c>
      <c r="D46">
        <v>9</v>
      </c>
      <c r="E46" t="s">
        <v>75</v>
      </c>
      <c r="F46">
        <v>30</v>
      </c>
      <c r="G46" t="str">
        <f>VLOOKUP(TRIM(B47), appointment_data!A:Z, 2, FALSE)</f>
        <v>A9961</v>
      </c>
    </row>
    <row r="47" spans="1:7" x14ac:dyDescent="0.3">
      <c r="A47" t="s">
        <v>117</v>
      </c>
      <c r="B47" t="s">
        <v>118</v>
      </c>
      <c r="C47" t="s">
        <v>12</v>
      </c>
      <c r="D47">
        <v>7</v>
      </c>
      <c r="E47" t="s">
        <v>32</v>
      </c>
      <c r="F47">
        <v>45</v>
      </c>
      <c r="G47" t="str">
        <f>VLOOKUP(TRIM(B48), appointment_data!A:Z, 2, FALSE)</f>
        <v>A2974</v>
      </c>
    </row>
    <row r="48" spans="1:7" x14ac:dyDescent="0.3">
      <c r="A48" t="s">
        <v>119</v>
      </c>
      <c r="B48" t="s">
        <v>120</v>
      </c>
      <c r="C48" t="s">
        <v>19</v>
      </c>
      <c r="D48">
        <v>5</v>
      </c>
      <c r="E48" t="s">
        <v>54</v>
      </c>
      <c r="F48">
        <v>45</v>
      </c>
      <c r="G48" t="str">
        <f>VLOOKUP(TRIM(B49), appointment_data!A:Z, 2, FALSE)</f>
        <v>A5835</v>
      </c>
    </row>
    <row r="49" spans="1:7" x14ac:dyDescent="0.3">
      <c r="A49" t="s">
        <v>121</v>
      </c>
      <c r="B49" t="s">
        <v>122</v>
      </c>
      <c r="C49" t="s">
        <v>864</v>
      </c>
      <c r="D49">
        <v>6.2849740929999998</v>
      </c>
      <c r="E49" t="s">
        <v>60</v>
      </c>
      <c r="F49">
        <v>45</v>
      </c>
      <c r="G49" t="str">
        <f>VLOOKUP(TRIM(B50), appointment_data!A:Z, 2, FALSE)</f>
        <v>A6947</v>
      </c>
    </row>
    <row r="50" spans="1:7" x14ac:dyDescent="0.3">
      <c r="A50" t="s">
        <v>123</v>
      </c>
      <c r="B50" t="s">
        <v>124</v>
      </c>
      <c r="C50" t="s">
        <v>19</v>
      </c>
      <c r="D50">
        <v>7</v>
      </c>
      <c r="E50" t="s">
        <v>32</v>
      </c>
      <c r="F50">
        <v>45</v>
      </c>
      <c r="G50" t="str">
        <f>VLOOKUP(TRIM(B51), appointment_data!A:Z, 2, FALSE)</f>
        <v>A1148</v>
      </c>
    </row>
    <row r="51" spans="1:7" x14ac:dyDescent="0.3">
      <c r="A51" t="s">
        <v>125</v>
      </c>
      <c r="B51" t="s">
        <v>126</v>
      </c>
      <c r="C51" t="s">
        <v>23</v>
      </c>
      <c r="D51">
        <v>4</v>
      </c>
      <c r="E51" t="s">
        <v>39</v>
      </c>
      <c r="F51">
        <v>45</v>
      </c>
      <c r="G51" t="str">
        <f>VLOOKUP(TRIM(B52), appointment_data!A:Z, 2, FALSE)</f>
        <v>A9073</v>
      </c>
    </row>
    <row r="52" spans="1:7" x14ac:dyDescent="0.3">
      <c r="A52" t="s">
        <v>127</v>
      </c>
      <c r="B52" t="s">
        <v>128</v>
      </c>
      <c r="C52" t="s">
        <v>12</v>
      </c>
      <c r="D52">
        <v>3</v>
      </c>
      <c r="E52" t="s">
        <v>13</v>
      </c>
      <c r="F52">
        <v>45</v>
      </c>
      <c r="G52" t="str">
        <f>VLOOKUP(TRIM(B53), appointment_data!A:Z, 2, FALSE)</f>
        <v>A6922</v>
      </c>
    </row>
    <row r="53" spans="1:7" x14ac:dyDescent="0.3">
      <c r="A53" t="s">
        <v>129</v>
      </c>
      <c r="B53" t="s">
        <v>130</v>
      </c>
      <c r="C53" t="s">
        <v>8</v>
      </c>
      <c r="D53">
        <v>9</v>
      </c>
      <c r="E53" t="s">
        <v>16</v>
      </c>
      <c r="F53">
        <v>30</v>
      </c>
      <c r="G53" t="str">
        <f>VLOOKUP(TRIM(B54), appointment_data!A:Z, 2, FALSE)</f>
        <v>A9724</v>
      </c>
    </row>
    <row r="54" spans="1:7" x14ac:dyDescent="0.3">
      <c r="A54" t="s">
        <v>131</v>
      </c>
      <c r="B54" t="s">
        <v>132</v>
      </c>
      <c r="C54" t="s">
        <v>8</v>
      </c>
      <c r="D54">
        <v>8</v>
      </c>
      <c r="E54" t="s">
        <v>60</v>
      </c>
      <c r="F54">
        <v>45</v>
      </c>
      <c r="G54" t="str">
        <f>VLOOKUP(TRIM(B55), appointment_data!A:Z, 2, FALSE)</f>
        <v>A7514</v>
      </c>
    </row>
    <row r="55" spans="1:7" x14ac:dyDescent="0.3">
      <c r="A55" t="s">
        <v>133</v>
      </c>
      <c r="B55" t="s">
        <v>134</v>
      </c>
      <c r="C55" t="s">
        <v>8</v>
      </c>
      <c r="D55">
        <v>9</v>
      </c>
      <c r="E55" t="s">
        <v>20</v>
      </c>
      <c r="F55">
        <v>30</v>
      </c>
      <c r="G55" t="str">
        <f>VLOOKUP(TRIM(B56), appointment_data!A:Z, 2, FALSE)</f>
        <v>N/A</v>
      </c>
    </row>
    <row r="56" spans="1:7" x14ac:dyDescent="0.3">
      <c r="A56" t="s">
        <v>135</v>
      </c>
      <c r="B56" t="s">
        <v>136</v>
      </c>
      <c r="C56" t="s">
        <v>19</v>
      </c>
      <c r="D56">
        <v>4</v>
      </c>
      <c r="E56" t="s">
        <v>9</v>
      </c>
      <c r="F56">
        <v>45</v>
      </c>
      <c r="G56" t="str">
        <f>VLOOKUP(TRIM(B57), appointment_data!A:Z, 2, FALSE)</f>
        <v>A9602</v>
      </c>
    </row>
    <row r="57" spans="1:7" x14ac:dyDescent="0.3">
      <c r="A57" t="s">
        <v>137</v>
      </c>
      <c r="B57" t="s">
        <v>138</v>
      </c>
      <c r="C57" t="s">
        <v>65</v>
      </c>
      <c r="D57">
        <v>4</v>
      </c>
      <c r="E57" t="s">
        <v>9</v>
      </c>
      <c r="F57">
        <v>45</v>
      </c>
      <c r="G57" t="str">
        <f>VLOOKUP(TRIM(B58), appointment_data!A:Z, 2, FALSE)</f>
        <v>A3495</v>
      </c>
    </row>
    <row r="58" spans="1:7" x14ac:dyDescent="0.3">
      <c r="A58" t="s">
        <v>139</v>
      </c>
      <c r="B58" t="s">
        <v>140</v>
      </c>
      <c r="C58" t="s">
        <v>19</v>
      </c>
      <c r="D58">
        <v>3</v>
      </c>
      <c r="E58" t="s">
        <v>42</v>
      </c>
      <c r="F58">
        <v>45</v>
      </c>
      <c r="G58" t="str">
        <f>VLOOKUP(TRIM(B59), appointment_data!A:Z, 2, FALSE)</f>
        <v>A9488</v>
      </c>
    </row>
    <row r="59" spans="1:7" x14ac:dyDescent="0.3">
      <c r="A59" t="s">
        <v>141</v>
      </c>
      <c r="B59" t="s">
        <v>142</v>
      </c>
      <c r="C59" t="s">
        <v>70</v>
      </c>
      <c r="D59">
        <v>3</v>
      </c>
      <c r="E59" t="s">
        <v>13</v>
      </c>
      <c r="F59">
        <v>45</v>
      </c>
      <c r="G59" t="str">
        <f>VLOOKUP(TRIM(B60), appointment_data!A:Z, 2, FALSE)</f>
        <v>A5762</v>
      </c>
    </row>
    <row r="60" spans="1:7" x14ac:dyDescent="0.3">
      <c r="A60" t="s">
        <v>143</v>
      </c>
      <c r="B60" t="s">
        <v>144</v>
      </c>
      <c r="C60" t="s">
        <v>65</v>
      </c>
      <c r="D60">
        <v>9</v>
      </c>
      <c r="E60" t="s">
        <v>106</v>
      </c>
      <c r="F60">
        <v>30</v>
      </c>
      <c r="G60" t="str">
        <f>VLOOKUP(TRIM(B61), appointment_data!A:Z, 2, FALSE)</f>
        <v>A8076</v>
      </c>
    </row>
    <row r="61" spans="1:7" x14ac:dyDescent="0.3">
      <c r="A61" t="s">
        <v>145</v>
      </c>
      <c r="B61" t="s">
        <v>146</v>
      </c>
      <c r="C61" t="s">
        <v>19</v>
      </c>
      <c r="D61">
        <v>9</v>
      </c>
      <c r="E61" t="s">
        <v>20</v>
      </c>
      <c r="F61">
        <v>30</v>
      </c>
      <c r="G61" t="str">
        <f>VLOOKUP(TRIM(B62), appointment_data!A:Z, 2, FALSE)</f>
        <v>A9964</v>
      </c>
    </row>
    <row r="62" spans="1:7" x14ac:dyDescent="0.3">
      <c r="A62" t="s">
        <v>147</v>
      </c>
      <c r="B62" t="s">
        <v>148</v>
      </c>
      <c r="C62" t="s">
        <v>19</v>
      </c>
      <c r="D62">
        <v>6</v>
      </c>
      <c r="E62" t="s">
        <v>51</v>
      </c>
      <c r="F62">
        <v>45</v>
      </c>
      <c r="G62" t="str">
        <f>VLOOKUP(TRIM(B63), appointment_data!A:Z, 2, FALSE)</f>
        <v>A8328</v>
      </c>
    </row>
    <row r="63" spans="1:7" x14ac:dyDescent="0.3">
      <c r="A63" t="s">
        <v>149</v>
      </c>
      <c r="B63" t="s">
        <v>150</v>
      </c>
      <c r="C63" t="s">
        <v>65</v>
      </c>
      <c r="D63">
        <v>9</v>
      </c>
      <c r="E63" t="s">
        <v>20</v>
      </c>
      <c r="F63">
        <v>30</v>
      </c>
      <c r="G63" t="str">
        <f>VLOOKUP(TRIM(B64), appointment_data!A:Z, 2, FALSE)</f>
        <v>A3096</v>
      </c>
    </row>
    <row r="64" spans="1:7" x14ac:dyDescent="0.3">
      <c r="A64" t="s">
        <v>151</v>
      </c>
      <c r="B64" t="s">
        <v>152</v>
      </c>
      <c r="C64" t="s">
        <v>8</v>
      </c>
      <c r="D64">
        <v>5</v>
      </c>
      <c r="E64" t="s">
        <v>54</v>
      </c>
      <c r="F64">
        <v>45</v>
      </c>
      <c r="G64" t="str">
        <f>VLOOKUP(TRIM(B65), appointment_data!A:Z, 2, FALSE)</f>
        <v>A5851</v>
      </c>
    </row>
    <row r="65" spans="1:7" x14ac:dyDescent="0.3">
      <c r="A65" t="s">
        <v>153</v>
      </c>
      <c r="B65" t="s">
        <v>154</v>
      </c>
      <c r="C65" t="s">
        <v>19</v>
      </c>
      <c r="D65">
        <v>7</v>
      </c>
      <c r="E65" t="s">
        <v>27</v>
      </c>
      <c r="F65">
        <v>45</v>
      </c>
      <c r="G65" t="str">
        <f>VLOOKUP(TRIM(B66), appointment_data!A:Z, 2, FALSE)</f>
        <v>A9029</v>
      </c>
    </row>
    <row r="66" spans="1:7" x14ac:dyDescent="0.3">
      <c r="A66" t="s">
        <v>155</v>
      </c>
      <c r="B66" t="s">
        <v>156</v>
      </c>
      <c r="C66" t="s">
        <v>70</v>
      </c>
      <c r="D66">
        <v>8</v>
      </c>
      <c r="E66" t="s">
        <v>24</v>
      </c>
      <c r="F66">
        <v>45</v>
      </c>
      <c r="G66" t="str">
        <f>VLOOKUP(TRIM(B67), appointment_data!A:Z, 2, FALSE)</f>
        <v>N/A</v>
      </c>
    </row>
    <row r="67" spans="1:7" x14ac:dyDescent="0.3">
      <c r="A67" t="s">
        <v>157</v>
      </c>
      <c r="B67" t="s">
        <v>158</v>
      </c>
      <c r="C67" t="s">
        <v>65</v>
      </c>
      <c r="D67">
        <v>9</v>
      </c>
      <c r="E67" t="s">
        <v>20</v>
      </c>
      <c r="F67">
        <v>30</v>
      </c>
      <c r="G67" t="str">
        <f>VLOOKUP(TRIM(B68), appointment_data!A:Z, 2, FALSE)</f>
        <v>A5016</v>
      </c>
    </row>
    <row r="68" spans="1:7" x14ac:dyDescent="0.3">
      <c r="A68" t="s">
        <v>159</v>
      </c>
      <c r="B68" t="s">
        <v>160</v>
      </c>
      <c r="C68" t="s">
        <v>70</v>
      </c>
      <c r="D68">
        <v>3</v>
      </c>
      <c r="E68" t="s">
        <v>42</v>
      </c>
      <c r="F68">
        <v>45</v>
      </c>
      <c r="G68" t="str">
        <f>VLOOKUP(TRIM(B69), appointment_data!A:Z, 2, FALSE)</f>
        <v>A8410</v>
      </c>
    </row>
    <row r="69" spans="1:7" x14ac:dyDescent="0.3">
      <c r="A69" t="s">
        <v>161</v>
      </c>
      <c r="B69" t="s">
        <v>162</v>
      </c>
      <c r="C69" t="s">
        <v>65</v>
      </c>
      <c r="D69">
        <v>8</v>
      </c>
      <c r="E69" t="s">
        <v>60</v>
      </c>
      <c r="F69">
        <v>45</v>
      </c>
      <c r="G69" t="str">
        <f>VLOOKUP(TRIM(B70), appointment_data!A:Z, 2, FALSE)</f>
        <v>A6602</v>
      </c>
    </row>
    <row r="70" spans="1:7" x14ac:dyDescent="0.3">
      <c r="A70" t="s">
        <v>163</v>
      </c>
      <c r="B70" t="s">
        <v>164</v>
      </c>
      <c r="C70" t="s">
        <v>70</v>
      </c>
      <c r="D70">
        <v>9</v>
      </c>
      <c r="E70" t="s">
        <v>75</v>
      </c>
      <c r="F70">
        <v>30</v>
      </c>
      <c r="G70" t="str">
        <f>VLOOKUP(TRIM(B71), appointment_data!A:Z, 2, FALSE)</f>
        <v>A4630</v>
      </c>
    </row>
    <row r="71" spans="1:7" x14ac:dyDescent="0.3">
      <c r="A71" t="s">
        <v>165</v>
      </c>
      <c r="B71" t="s">
        <v>166</v>
      </c>
      <c r="C71" t="s">
        <v>8</v>
      </c>
      <c r="D71">
        <v>9</v>
      </c>
      <c r="E71" t="s">
        <v>20</v>
      </c>
      <c r="F71">
        <v>30</v>
      </c>
      <c r="G71" t="str">
        <f>VLOOKUP(TRIM(B72), appointment_data!A:Z, 2, FALSE)</f>
        <v>A7337</v>
      </c>
    </row>
    <row r="72" spans="1:7" x14ac:dyDescent="0.3">
      <c r="A72" t="s">
        <v>167</v>
      </c>
      <c r="B72" t="s">
        <v>168</v>
      </c>
      <c r="C72" t="s">
        <v>19</v>
      </c>
      <c r="D72">
        <v>9</v>
      </c>
      <c r="E72" t="s">
        <v>106</v>
      </c>
      <c r="F72">
        <v>30</v>
      </c>
      <c r="G72" t="str">
        <f>VLOOKUP(TRIM(B73), appointment_data!A:Z, 2, FALSE)</f>
        <v>A6960</v>
      </c>
    </row>
    <row r="73" spans="1:7" x14ac:dyDescent="0.3">
      <c r="A73" t="s">
        <v>169</v>
      </c>
      <c r="B73" t="s">
        <v>170</v>
      </c>
      <c r="C73" t="s">
        <v>12</v>
      </c>
      <c r="D73">
        <v>8</v>
      </c>
      <c r="E73" t="s">
        <v>60</v>
      </c>
      <c r="F73">
        <v>45</v>
      </c>
      <c r="G73" t="str">
        <f>VLOOKUP(TRIM(B74), appointment_data!A:Z, 2, FALSE)</f>
        <v>A6763</v>
      </c>
    </row>
    <row r="74" spans="1:7" x14ac:dyDescent="0.3">
      <c r="A74" t="s">
        <v>171</v>
      </c>
      <c r="B74" t="s">
        <v>172</v>
      </c>
      <c r="C74" t="s">
        <v>19</v>
      </c>
      <c r="D74">
        <v>8</v>
      </c>
      <c r="E74" t="s">
        <v>60</v>
      </c>
      <c r="F74">
        <v>45</v>
      </c>
      <c r="G74" t="str">
        <f>VLOOKUP(TRIM(B75), appointment_data!A:Z, 2, FALSE)</f>
        <v>A2399</v>
      </c>
    </row>
    <row r="75" spans="1:7" x14ac:dyDescent="0.3">
      <c r="A75" t="s">
        <v>173</v>
      </c>
      <c r="B75" t="s">
        <v>174</v>
      </c>
      <c r="C75" t="s">
        <v>23</v>
      </c>
      <c r="D75">
        <v>9</v>
      </c>
      <c r="E75" t="s">
        <v>16</v>
      </c>
      <c r="F75">
        <v>30</v>
      </c>
      <c r="G75" t="str">
        <f>VLOOKUP(TRIM(B76), appointment_data!A:Z, 2, FALSE)</f>
        <v>A7962</v>
      </c>
    </row>
    <row r="76" spans="1:7" x14ac:dyDescent="0.3">
      <c r="A76" t="s">
        <v>175</v>
      </c>
      <c r="B76" t="s">
        <v>176</v>
      </c>
      <c r="C76" t="s">
        <v>8</v>
      </c>
      <c r="D76">
        <v>8</v>
      </c>
      <c r="E76" t="s">
        <v>60</v>
      </c>
      <c r="F76">
        <v>45</v>
      </c>
      <c r="G76" t="str">
        <f>VLOOKUP(TRIM(B77), appointment_data!A:Z, 2, FALSE)</f>
        <v>A2839</v>
      </c>
    </row>
    <row r="77" spans="1:7" x14ac:dyDescent="0.3">
      <c r="A77" t="s">
        <v>177</v>
      </c>
      <c r="B77" t="s">
        <v>178</v>
      </c>
      <c r="C77" t="s">
        <v>65</v>
      </c>
      <c r="D77">
        <v>4</v>
      </c>
      <c r="E77" t="s">
        <v>9</v>
      </c>
      <c r="F77">
        <v>45</v>
      </c>
      <c r="G77" t="str">
        <f>VLOOKUP(TRIM(B78), appointment_data!A:Z, 2, FALSE)</f>
        <v>A4322</v>
      </c>
    </row>
    <row r="78" spans="1:7" x14ac:dyDescent="0.3">
      <c r="A78" t="s">
        <v>179</v>
      </c>
      <c r="B78" t="s">
        <v>180</v>
      </c>
      <c r="C78" t="s">
        <v>19</v>
      </c>
      <c r="D78">
        <v>6</v>
      </c>
      <c r="E78" t="s">
        <v>51</v>
      </c>
      <c r="F78">
        <v>45</v>
      </c>
      <c r="G78" t="str">
        <f>VLOOKUP(TRIM(B79), appointment_data!A:Z, 2, FALSE)</f>
        <v>A4269</v>
      </c>
    </row>
    <row r="79" spans="1:7" x14ac:dyDescent="0.3">
      <c r="A79" t="s">
        <v>181</v>
      </c>
      <c r="B79" t="s">
        <v>182</v>
      </c>
      <c r="C79" t="s">
        <v>12</v>
      </c>
      <c r="D79">
        <v>8</v>
      </c>
      <c r="E79" t="s">
        <v>60</v>
      </c>
      <c r="F79">
        <v>45</v>
      </c>
      <c r="G79" t="str">
        <f>VLOOKUP(TRIM(B80), appointment_data!A:Z, 2, FALSE)</f>
        <v>A2273</v>
      </c>
    </row>
    <row r="80" spans="1:7" x14ac:dyDescent="0.3">
      <c r="A80" t="s">
        <v>183</v>
      </c>
      <c r="B80" t="s">
        <v>184</v>
      </c>
      <c r="C80" t="s">
        <v>12</v>
      </c>
      <c r="D80">
        <v>9</v>
      </c>
      <c r="E80" t="s">
        <v>864</v>
      </c>
      <c r="F80">
        <v>30</v>
      </c>
      <c r="G80" t="str">
        <f>VLOOKUP(TRIM(B81), appointment_data!A:Z, 2, FALSE)</f>
        <v>A5011</v>
      </c>
    </row>
    <row r="81" spans="1:7" x14ac:dyDescent="0.3">
      <c r="A81" t="s">
        <v>185</v>
      </c>
      <c r="B81" t="s">
        <v>186</v>
      </c>
      <c r="C81" t="s">
        <v>70</v>
      </c>
      <c r="D81">
        <v>4</v>
      </c>
      <c r="E81" t="s">
        <v>9</v>
      </c>
      <c r="F81">
        <v>45</v>
      </c>
      <c r="G81" t="str">
        <f>VLOOKUP(TRIM(B82), appointment_data!A:Z, 2, FALSE)</f>
        <v>A1280</v>
      </c>
    </row>
    <row r="82" spans="1:7" x14ac:dyDescent="0.3">
      <c r="A82" t="s">
        <v>187</v>
      </c>
      <c r="B82" t="s">
        <v>188</v>
      </c>
      <c r="C82" t="s">
        <v>65</v>
      </c>
      <c r="D82">
        <v>3</v>
      </c>
      <c r="E82" t="s">
        <v>42</v>
      </c>
      <c r="F82">
        <v>45</v>
      </c>
      <c r="G82" t="str">
        <f>VLOOKUP(TRIM(B83), appointment_data!A:Z, 2, FALSE)</f>
        <v>A4434</v>
      </c>
    </row>
    <row r="83" spans="1:7" x14ac:dyDescent="0.3">
      <c r="A83" t="s">
        <v>189</v>
      </c>
      <c r="B83" t="s">
        <v>190</v>
      </c>
      <c r="C83" t="s">
        <v>8</v>
      </c>
      <c r="D83">
        <v>7</v>
      </c>
      <c r="E83" t="s">
        <v>27</v>
      </c>
      <c r="F83">
        <v>45</v>
      </c>
      <c r="G83" t="str">
        <f>VLOOKUP(TRIM(B84), appointment_data!A:Z, 2, FALSE)</f>
        <v>A5929</v>
      </c>
    </row>
    <row r="84" spans="1:7" x14ac:dyDescent="0.3">
      <c r="A84" t="s">
        <v>191</v>
      </c>
      <c r="B84" t="s">
        <v>192</v>
      </c>
      <c r="C84" t="s">
        <v>8</v>
      </c>
      <c r="D84">
        <v>4</v>
      </c>
      <c r="E84" t="s">
        <v>39</v>
      </c>
      <c r="F84">
        <v>45</v>
      </c>
      <c r="G84" t="str">
        <f>VLOOKUP(TRIM(B85), appointment_data!A:Z, 2, FALSE)</f>
        <v>A1107</v>
      </c>
    </row>
    <row r="85" spans="1:7" x14ac:dyDescent="0.3">
      <c r="A85" t="s">
        <v>193</v>
      </c>
      <c r="B85" t="s">
        <v>194</v>
      </c>
      <c r="C85" t="s">
        <v>65</v>
      </c>
      <c r="D85">
        <v>9</v>
      </c>
      <c r="E85" t="s">
        <v>75</v>
      </c>
      <c r="F85">
        <v>30</v>
      </c>
      <c r="G85" t="str">
        <f>VLOOKUP(TRIM(B86), appointment_data!A:Z, 2, FALSE)</f>
        <v>N/A</v>
      </c>
    </row>
    <row r="86" spans="1:7" x14ac:dyDescent="0.3">
      <c r="A86" t="s">
        <v>195</v>
      </c>
      <c r="B86" t="s">
        <v>196</v>
      </c>
      <c r="C86" t="s">
        <v>65</v>
      </c>
      <c r="D86">
        <v>9</v>
      </c>
      <c r="E86" t="s">
        <v>16</v>
      </c>
      <c r="F86">
        <v>30</v>
      </c>
      <c r="G86" t="str">
        <f>VLOOKUP(TRIM(B87), appointment_data!A:Z, 2, FALSE)</f>
        <v>A8154</v>
      </c>
    </row>
    <row r="87" spans="1:7" x14ac:dyDescent="0.3">
      <c r="A87" t="s">
        <v>197</v>
      </c>
      <c r="B87" t="s">
        <v>198</v>
      </c>
      <c r="C87" t="s">
        <v>23</v>
      </c>
      <c r="D87">
        <v>9</v>
      </c>
      <c r="E87" t="s">
        <v>75</v>
      </c>
      <c r="F87">
        <v>30</v>
      </c>
      <c r="G87" t="str">
        <f>VLOOKUP(TRIM(B88), appointment_data!A:Z, 2, FALSE)</f>
        <v>A3997</v>
      </c>
    </row>
    <row r="88" spans="1:7" x14ac:dyDescent="0.3">
      <c r="A88" t="s">
        <v>199</v>
      </c>
      <c r="B88" t="s">
        <v>200</v>
      </c>
      <c r="C88" t="s">
        <v>8</v>
      </c>
      <c r="D88">
        <v>8</v>
      </c>
      <c r="E88" t="s">
        <v>60</v>
      </c>
      <c r="F88">
        <v>45</v>
      </c>
      <c r="G88" t="str">
        <f>VLOOKUP(TRIM(B89), appointment_data!A:Z, 2, FALSE)</f>
        <v>A1887</v>
      </c>
    </row>
    <row r="89" spans="1:7" x14ac:dyDescent="0.3">
      <c r="A89" t="s">
        <v>201</v>
      </c>
      <c r="B89" t="s">
        <v>202</v>
      </c>
      <c r="C89" t="s">
        <v>65</v>
      </c>
      <c r="D89">
        <v>7</v>
      </c>
      <c r="E89" t="s">
        <v>32</v>
      </c>
      <c r="F89">
        <v>45</v>
      </c>
      <c r="G89" t="str">
        <f>VLOOKUP(TRIM(B90), appointment_data!A:Z, 2, FALSE)</f>
        <v>A2811</v>
      </c>
    </row>
    <row r="90" spans="1:7" x14ac:dyDescent="0.3">
      <c r="A90" t="s">
        <v>203</v>
      </c>
      <c r="B90" t="s">
        <v>204</v>
      </c>
      <c r="C90" t="s">
        <v>23</v>
      </c>
      <c r="D90">
        <v>8</v>
      </c>
      <c r="E90" t="s">
        <v>24</v>
      </c>
      <c r="F90">
        <v>45</v>
      </c>
      <c r="G90" t="str">
        <f>VLOOKUP(TRIM(B91), appointment_data!A:Z, 2, FALSE)</f>
        <v>A7866</v>
      </c>
    </row>
    <row r="91" spans="1:7" x14ac:dyDescent="0.3">
      <c r="A91" t="s">
        <v>205</v>
      </c>
      <c r="B91" t="s">
        <v>206</v>
      </c>
      <c r="C91" t="s">
        <v>12</v>
      </c>
      <c r="D91">
        <v>7</v>
      </c>
      <c r="E91" t="s">
        <v>27</v>
      </c>
      <c r="F91">
        <v>45</v>
      </c>
      <c r="G91" t="str">
        <f>VLOOKUP(TRIM(B92), appointment_data!A:Z, 2, FALSE)</f>
        <v>A4066</v>
      </c>
    </row>
    <row r="92" spans="1:7" x14ac:dyDescent="0.3">
      <c r="A92" t="s">
        <v>207</v>
      </c>
      <c r="B92" t="s">
        <v>208</v>
      </c>
      <c r="C92" t="s">
        <v>12</v>
      </c>
      <c r="D92">
        <v>4</v>
      </c>
      <c r="E92" t="s">
        <v>39</v>
      </c>
      <c r="F92">
        <v>45</v>
      </c>
      <c r="G92" t="str">
        <f>VLOOKUP(TRIM(B93), appointment_data!A:Z, 2, FALSE)</f>
        <v>A1698</v>
      </c>
    </row>
    <row r="93" spans="1:7" x14ac:dyDescent="0.3">
      <c r="A93" t="s">
        <v>209</v>
      </c>
      <c r="B93" t="s">
        <v>210</v>
      </c>
      <c r="C93" t="s">
        <v>70</v>
      </c>
      <c r="D93">
        <v>8</v>
      </c>
      <c r="E93" t="s">
        <v>60</v>
      </c>
      <c r="F93">
        <v>45</v>
      </c>
      <c r="G93" t="str">
        <f>VLOOKUP(TRIM(B94), appointment_data!A:Z, 2, FALSE)</f>
        <v>A9430</v>
      </c>
    </row>
    <row r="94" spans="1:7" x14ac:dyDescent="0.3">
      <c r="A94" t="s">
        <v>211</v>
      </c>
      <c r="B94" t="s">
        <v>212</v>
      </c>
      <c r="C94" t="s">
        <v>23</v>
      </c>
      <c r="D94">
        <v>7</v>
      </c>
      <c r="E94" t="s">
        <v>27</v>
      </c>
      <c r="F94">
        <v>45</v>
      </c>
      <c r="G94" t="str">
        <f>VLOOKUP(TRIM(B95), appointment_data!A:Z, 2, FALSE)</f>
        <v>A4495</v>
      </c>
    </row>
    <row r="95" spans="1:7" x14ac:dyDescent="0.3">
      <c r="A95" t="s">
        <v>213</v>
      </c>
      <c r="B95" t="s">
        <v>214</v>
      </c>
      <c r="C95" t="s">
        <v>12</v>
      </c>
      <c r="D95">
        <v>4</v>
      </c>
      <c r="E95" t="s">
        <v>39</v>
      </c>
      <c r="F95">
        <v>45</v>
      </c>
      <c r="G95" t="str">
        <f>VLOOKUP(TRIM(B96), appointment_data!A:Z, 2, FALSE)</f>
        <v>A3333</v>
      </c>
    </row>
    <row r="96" spans="1:7" x14ac:dyDescent="0.3">
      <c r="A96" t="s">
        <v>215</v>
      </c>
      <c r="B96" t="s">
        <v>216</v>
      </c>
      <c r="C96" t="s">
        <v>65</v>
      </c>
      <c r="D96">
        <v>9</v>
      </c>
      <c r="E96" t="s">
        <v>75</v>
      </c>
      <c r="F96">
        <v>30</v>
      </c>
      <c r="G96" t="str">
        <f>VLOOKUP(TRIM(B97), appointment_data!A:Z, 2, FALSE)</f>
        <v>A5600</v>
      </c>
    </row>
    <row r="97" spans="1:7" x14ac:dyDescent="0.3">
      <c r="A97" t="s">
        <v>217</v>
      </c>
      <c r="B97" t="s">
        <v>218</v>
      </c>
      <c r="C97" t="s">
        <v>70</v>
      </c>
      <c r="D97">
        <v>6</v>
      </c>
      <c r="E97" t="s">
        <v>51</v>
      </c>
      <c r="F97">
        <v>45</v>
      </c>
      <c r="G97" t="str">
        <f>VLOOKUP(TRIM(B98), appointment_data!A:Z, 2, FALSE)</f>
        <v>A4561</v>
      </c>
    </row>
    <row r="98" spans="1:7" x14ac:dyDescent="0.3">
      <c r="A98" t="s">
        <v>219</v>
      </c>
      <c r="B98" t="s">
        <v>220</v>
      </c>
      <c r="C98" t="s">
        <v>23</v>
      </c>
      <c r="D98">
        <v>9</v>
      </c>
      <c r="E98" t="s">
        <v>20</v>
      </c>
      <c r="F98">
        <v>30</v>
      </c>
      <c r="G98" t="str">
        <f>VLOOKUP(TRIM(B99), appointment_data!A:Z, 2, FALSE)</f>
        <v>A1739</v>
      </c>
    </row>
    <row r="99" spans="1:7" x14ac:dyDescent="0.3">
      <c r="A99" t="s">
        <v>221</v>
      </c>
      <c r="B99" t="s">
        <v>222</v>
      </c>
      <c r="C99" t="s">
        <v>19</v>
      </c>
      <c r="D99">
        <v>4</v>
      </c>
      <c r="E99" t="s">
        <v>39</v>
      </c>
      <c r="F99">
        <v>45</v>
      </c>
      <c r="G99" t="str">
        <f>VLOOKUP(TRIM(B100), appointment_data!A:Z, 2, FALSE)</f>
        <v>A2109</v>
      </c>
    </row>
    <row r="100" spans="1:7" x14ac:dyDescent="0.3">
      <c r="A100" t="s">
        <v>223</v>
      </c>
      <c r="B100" t="s">
        <v>224</v>
      </c>
      <c r="C100" t="s">
        <v>8</v>
      </c>
      <c r="D100">
        <v>4</v>
      </c>
      <c r="E100" t="s">
        <v>9</v>
      </c>
      <c r="F100">
        <v>45</v>
      </c>
      <c r="G100" t="str">
        <f>VLOOKUP(TRIM(B101), appointment_data!A:Z, 2, FALSE)</f>
        <v>A1157</v>
      </c>
    </row>
    <row r="101" spans="1:7" x14ac:dyDescent="0.3">
      <c r="A101" t="s">
        <v>225</v>
      </c>
      <c r="B101" t="s">
        <v>226</v>
      </c>
      <c r="C101" t="s">
        <v>65</v>
      </c>
      <c r="D101">
        <v>6</v>
      </c>
      <c r="E101" t="s">
        <v>51</v>
      </c>
      <c r="F101">
        <v>45</v>
      </c>
      <c r="G101" t="str">
        <f>VLOOKUP(TRIM(B102), appointment_data!A:Z, 2, FALSE)</f>
        <v>A6884</v>
      </c>
    </row>
    <row r="102" spans="1:7" x14ac:dyDescent="0.3">
      <c r="A102" t="s">
        <v>227</v>
      </c>
      <c r="B102" t="s">
        <v>228</v>
      </c>
      <c r="C102" t="s">
        <v>12</v>
      </c>
      <c r="D102">
        <v>9</v>
      </c>
      <c r="E102" t="s">
        <v>16</v>
      </c>
      <c r="F102">
        <v>30</v>
      </c>
      <c r="G102" t="str">
        <f>VLOOKUP(TRIM(B103), appointment_data!A:Z, 2, FALSE)</f>
        <v>A4146</v>
      </c>
    </row>
    <row r="103" spans="1:7" x14ac:dyDescent="0.3">
      <c r="A103" t="s">
        <v>229</v>
      </c>
      <c r="B103" t="s">
        <v>230</v>
      </c>
      <c r="C103" t="s">
        <v>23</v>
      </c>
      <c r="D103">
        <v>8</v>
      </c>
      <c r="E103" t="s">
        <v>60</v>
      </c>
      <c r="F103">
        <v>45</v>
      </c>
      <c r="G103" t="str">
        <f>VLOOKUP(TRIM(B104), appointment_data!A:Z, 2, FALSE)</f>
        <v>A3067</v>
      </c>
    </row>
    <row r="104" spans="1:7" x14ac:dyDescent="0.3">
      <c r="A104" t="s">
        <v>231</v>
      </c>
      <c r="B104" t="s">
        <v>232</v>
      </c>
      <c r="C104" t="s">
        <v>19</v>
      </c>
      <c r="D104">
        <v>4</v>
      </c>
      <c r="E104" t="s">
        <v>9</v>
      </c>
      <c r="F104">
        <v>45</v>
      </c>
      <c r="G104" t="str">
        <f>VLOOKUP(TRIM(B105), appointment_data!A:Z, 2, FALSE)</f>
        <v>A4312</v>
      </c>
    </row>
    <row r="105" spans="1:7" x14ac:dyDescent="0.3">
      <c r="A105" t="s">
        <v>233</v>
      </c>
      <c r="B105" t="s">
        <v>234</v>
      </c>
      <c r="C105" t="s">
        <v>19</v>
      </c>
      <c r="D105">
        <v>7</v>
      </c>
      <c r="E105" t="s">
        <v>27</v>
      </c>
      <c r="F105">
        <v>45</v>
      </c>
      <c r="G105" t="str">
        <f>VLOOKUP(TRIM(B106), appointment_data!A:Z, 2, FALSE)</f>
        <v>A8481</v>
      </c>
    </row>
    <row r="106" spans="1:7" x14ac:dyDescent="0.3">
      <c r="A106" t="s">
        <v>235</v>
      </c>
      <c r="B106" t="s">
        <v>236</v>
      </c>
      <c r="C106" t="s">
        <v>864</v>
      </c>
      <c r="D106">
        <v>6.2849740929999998</v>
      </c>
      <c r="E106" t="s">
        <v>864</v>
      </c>
      <c r="F106">
        <v>41.479591839999998</v>
      </c>
      <c r="G106" t="str">
        <f>VLOOKUP(TRIM(B107), appointment_data!A:Z, 2, FALSE)</f>
        <v>A8951</v>
      </c>
    </row>
    <row r="107" spans="1:7" x14ac:dyDescent="0.3">
      <c r="A107" t="s">
        <v>237</v>
      </c>
      <c r="B107" t="s">
        <v>238</v>
      </c>
      <c r="C107" t="s">
        <v>70</v>
      </c>
      <c r="D107">
        <v>4</v>
      </c>
      <c r="E107" t="s">
        <v>9</v>
      </c>
      <c r="F107">
        <v>45</v>
      </c>
      <c r="G107" t="str">
        <f>VLOOKUP(TRIM(B108), appointment_data!A:Z, 2, FALSE)</f>
        <v>A6060</v>
      </c>
    </row>
    <row r="108" spans="1:7" x14ac:dyDescent="0.3">
      <c r="A108" t="s">
        <v>239</v>
      </c>
      <c r="B108" t="s">
        <v>240</v>
      </c>
      <c r="C108" t="s">
        <v>12</v>
      </c>
      <c r="D108">
        <v>8</v>
      </c>
      <c r="E108" t="s">
        <v>24</v>
      </c>
      <c r="F108">
        <v>45</v>
      </c>
      <c r="G108" t="str">
        <f>VLOOKUP(TRIM(B109), appointment_data!A:Z, 2, FALSE)</f>
        <v>A9814</v>
      </c>
    </row>
    <row r="109" spans="1:7" x14ac:dyDescent="0.3">
      <c r="A109" t="s">
        <v>241</v>
      </c>
      <c r="B109" t="s">
        <v>242</v>
      </c>
      <c r="C109" t="s">
        <v>8</v>
      </c>
      <c r="D109">
        <v>8</v>
      </c>
      <c r="E109" t="s">
        <v>60</v>
      </c>
      <c r="F109">
        <v>45</v>
      </c>
      <c r="G109" t="str">
        <f>VLOOKUP(TRIM(B110), appointment_data!A:Z, 2, FALSE)</f>
        <v>A9209</v>
      </c>
    </row>
    <row r="110" spans="1:7" x14ac:dyDescent="0.3">
      <c r="A110" t="s">
        <v>243</v>
      </c>
      <c r="B110" t="s">
        <v>244</v>
      </c>
      <c r="C110" t="s">
        <v>65</v>
      </c>
      <c r="D110">
        <v>9</v>
      </c>
      <c r="E110" t="s">
        <v>75</v>
      </c>
      <c r="F110">
        <v>30</v>
      </c>
      <c r="G110" t="str">
        <f>VLOOKUP(TRIM(B111), appointment_data!A:Z, 2, FALSE)</f>
        <v>A4611</v>
      </c>
    </row>
    <row r="111" spans="1:7" x14ac:dyDescent="0.3">
      <c r="A111" t="s">
        <v>245</v>
      </c>
      <c r="B111" t="s">
        <v>246</v>
      </c>
      <c r="C111" t="s">
        <v>23</v>
      </c>
      <c r="D111">
        <v>6</v>
      </c>
      <c r="E111" t="s">
        <v>51</v>
      </c>
      <c r="F111">
        <v>45</v>
      </c>
      <c r="G111" t="str">
        <f>VLOOKUP(TRIM(B112), appointment_data!A:Z, 2, FALSE)</f>
        <v>A9807</v>
      </c>
    </row>
    <row r="112" spans="1:7" x14ac:dyDescent="0.3">
      <c r="A112" t="s">
        <v>247</v>
      </c>
      <c r="B112" t="s">
        <v>248</v>
      </c>
      <c r="C112" t="s">
        <v>23</v>
      </c>
      <c r="D112">
        <v>6</v>
      </c>
      <c r="E112" t="s">
        <v>51</v>
      </c>
      <c r="F112">
        <v>45</v>
      </c>
      <c r="G112" t="str">
        <f>VLOOKUP(TRIM(B113), appointment_data!A:Z, 2, FALSE)</f>
        <v>A1390</v>
      </c>
    </row>
    <row r="113" spans="1:7" x14ac:dyDescent="0.3">
      <c r="A113" t="s">
        <v>249</v>
      </c>
      <c r="B113" t="s">
        <v>250</v>
      </c>
      <c r="C113" t="s">
        <v>70</v>
      </c>
      <c r="D113">
        <v>4</v>
      </c>
      <c r="E113" t="s">
        <v>9</v>
      </c>
      <c r="F113">
        <v>45</v>
      </c>
      <c r="G113" t="str">
        <f>VLOOKUP(TRIM(B114), appointment_data!A:Z, 2, FALSE)</f>
        <v>A8552</v>
      </c>
    </row>
    <row r="114" spans="1:7" x14ac:dyDescent="0.3">
      <c r="A114" t="s">
        <v>251</v>
      </c>
      <c r="B114" t="s">
        <v>252</v>
      </c>
      <c r="C114" t="s">
        <v>65</v>
      </c>
      <c r="D114">
        <v>3</v>
      </c>
      <c r="E114" t="s">
        <v>42</v>
      </c>
      <c r="F114">
        <v>45</v>
      </c>
      <c r="G114" t="str">
        <f>VLOOKUP(TRIM(B115), appointment_data!A:Z, 2, FALSE)</f>
        <v>N/A</v>
      </c>
    </row>
    <row r="115" spans="1:7" x14ac:dyDescent="0.3">
      <c r="A115" t="s">
        <v>253</v>
      </c>
      <c r="B115" t="s">
        <v>254</v>
      </c>
      <c r="C115" t="s">
        <v>23</v>
      </c>
      <c r="D115">
        <v>4</v>
      </c>
      <c r="E115" t="s">
        <v>9</v>
      </c>
      <c r="F115">
        <v>45</v>
      </c>
      <c r="G115" t="str">
        <f>VLOOKUP(TRIM(B116), appointment_data!A:Z, 2, FALSE)</f>
        <v>A2077</v>
      </c>
    </row>
    <row r="116" spans="1:7" x14ac:dyDescent="0.3">
      <c r="A116" t="s">
        <v>255</v>
      </c>
      <c r="B116" t="s">
        <v>256</v>
      </c>
      <c r="C116" t="s">
        <v>65</v>
      </c>
      <c r="D116">
        <v>4</v>
      </c>
      <c r="E116" t="s">
        <v>39</v>
      </c>
      <c r="F116">
        <v>45</v>
      </c>
      <c r="G116" t="str">
        <f>VLOOKUP(TRIM(B117), appointment_data!A:Z, 2, FALSE)</f>
        <v>A4393</v>
      </c>
    </row>
    <row r="117" spans="1:7" x14ac:dyDescent="0.3">
      <c r="A117" t="s">
        <v>257</v>
      </c>
      <c r="B117" t="s">
        <v>258</v>
      </c>
      <c r="C117" t="s">
        <v>23</v>
      </c>
      <c r="D117">
        <v>3</v>
      </c>
      <c r="E117" t="s">
        <v>42</v>
      </c>
      <c r="F117">
        <v>45</v>
      </c>
      <c r="G117" t="str">
        <f>VLOOKUP(TRIM(B118), appointment_data!A:Z, 2, FALSE)</f>
        <v>A9429</v>
      </c>
    </row>
    <row r="118" spans="1:7" x14ac:dyDescent="0.3">
      <c r="A118" t="s">
        <v>259</v>
      </c>
      <c r="B118" t="s">
        <v>260</v>
      </c>
      <c r="C118" t="s">
        <v>70</v>
      </c>
      <c r="D118">
        <v>7</v>
      </c>
      <c r="E118" t="s">
        <v>27</v>
      </c>
      <c r="F118">
        <v>45</v>
      </c>
      <c r="G118" t="str">
        <f>VLOOKUP(TRIM(B119), appointment_data!A:Z, 2, FALSE)</f>
        <v>A9519</v>
      </c>
    </row>
    <row r="119" spans="1:7" x14ac:dyDescent="0.3">
      <c r="A119" t="s">
        <v>261</v>
      </c>
      <c r="B119" t="s">
        <v>262</v>
      </c>
      <c r="C119" t="s">
        <v>65</v>
      </c>
      <c r="D119">
        <v>9</v>
      </c>
      <c r="E119" t="s">
        <v>20</v>
      </c>
      <c r="F119">
        <v>30</v>
      </c>
      <c r="G119" t="str">
        <f>VLOOKUP(TRIM(B120), appointment_data!A:Z, 2, FALSE)</f>
        <v>A3483</v>
      </c>
    </row>
    <row r="120" spans="1:7" x14ac:dyDescent="0.3">
      <c r="A120" t="s">
        <v>263</v>
      </c>
      <c r="B120" t="s">
        <v>264</v>
      </c>
      <c r="C120" t="s">
        <v>12</v>
      </c>
      <c r="D120">
        <v>9</v>
      </c>
      <c r="E120" t="s">
        <v>106</v>
      </c>
      <c r="F120">
        <v>30</v>
      </c>
      <c r="G120" t="str">
        <f>VLOOKUP(TRIM(B121), appointment_data!A:Z, 2, FALSE)</f>
        <v>A9319</v>
      </c>
    </row>
    <row r="121" spans="1:7" x14ac:dyDescent="0.3">
      <c r="A121" t="s">
        <v>265</v>
      </c>
      <c r="B121" t="s">
        <v>266</v>
      </c>
      <c r="C121" t="s">
        <v>19</v>
      </c>
      <c r="D121">
        <v>7</v>
      </c>
      <c r="E121" t="s">
        <v>57</v>
      </c>
      <c r="F121">
        <v>45</v>
      </c>
      <c r="G121" t="str">
        <f>VLOOKUP(TRIM(B122), appointment_data!A:Z, 2, FALSE)</f>
        <v>A7880</v>
      </c>
    </row>
    <row r="122" spans="1:7" x14ac:dyDescent="0.3">
      <c r="A122" t="s">
        <v>267</v>
      </c>
      <c r="B122" t="s">
        <v>268</v>
      </c>
      <c r="C122" t="s">
        <v>8</v>
      </c>
      <c r="D122">
        <v>8</v>
      </c>
      <c r="E122" t="s">
        <v>60</v>
      </c>
      <c r="F122">
        <v>45</v>
      </c>
      <c r="G122" t="str">
        <f>VLOOKUP(TRIM(B123), appointment_data!A:Z, 2, FALSE)</f>
        <v>A8498</v>
      </c>
    </row>
    <row r="123" spans="1:7" x14ac:dyDescent="0.3">
      <c r="A123" t="s">
        <v>269</v>
      </c>
      <c r="B123" t="s">
        <v>270</v>
      </c>
      <c r="C123" t="s">
        <v>19</v>
      </c>
      <c r="D123">
        <v>8</v>
      </c>
      <c r="E123" t="s">
        <v>24</v>
      </c>
      <c r="F123">
        <v>45</v>
      </c>
      <c r="G123" t="str">
        <f>VLOOKUP(TRIM(B124), appointment_data!A:Z, 2, FALSE)</f>
        <v>A6824</v>
      </c>
    </row>
    <row r="124" spans="1:7" x14ac:dyDescent="0.3">
      <c r="A124" t="s">
        <v>271</v>
      </c>
      <c r="B124" t="s">
        <v>272</v>
      </c>
      <c r="C124" t="s">
        <v>8</v>
      </c>
      <c r="D124">
        <v>4</v>
      </c>
      <c r="E124" t="s">
        <v>9</v>
      </c>
      <c r="F124">
        <v>45</v>
      </c>
      <c r="G124" t="str">
        <f>VLOOKUP(TRIM(B125), appointment_data!A:Z, 2, FALSE)</f>
        <v>A1087</v>
      </c>
    </row>
    <row r="125" spans="1:7" x14ac:dyDescent="0.3">
      <c r="A125" t="s">
        <v>273</v>
      </c>
      <c r="B125" t="s">
        <v>274</v>
      </c>
      <c r="C125" t="s">
        <v>12</v>
      </c>
      <c r="D125">
        <v>3</v>
      </c>
      <c r="E125" t="s">
        <v>42</v>
      </c>
      <c r="F125">
        <v>45</v>
      </c>
      <c r="G125" t="str">
        <f>VLOOKUP(TRIM(B126), appointment_data!A:Z, 2, FALSE)</f>
        <v>A4414</v>
      </c>
    </row>
    <row r="126" spans="1:7" x14ac:dyDescent="0.3">
      <c r="A126" t="s">
        <v>275</v>
      </c>
      <c r="B126" t="s">
        <v>276</v>
      </c>
      <c r="C126" t="s">
        <v>70</v>
      </c>
      <c r="D126">
        <v>4</v>
      </c>
      <c r="E126" t="s">
        <v>9</v>
      </c>
      <c r="F126">
        <v>45</v>
      </c>
      <c r="G126" t="str">
        <f>VLOOKUP(TRIM(B127), appointment_data!A:Z, 2, FALSE)</f>
        <v>A2655</v>
      </c>
    </row>
    <row r="127" spans="1:7" x14ac:dyDescent="0.3">
      <c r="A127" t="s">
        <v>277</v>
      </c>
      <c r="B127" t="s">
        <v>278</v>
      </c>
      <c r="C127" t="s">
        <v>12</v>
      </c>
      <c r="D127">
        <v>7</v>
      </c>
      <c r="E127" t="s">
        <v>27</v>
      </c>
      <c r="F127">
        <v>45</v>
      </c>
      <c r="G127" t="str">
        <f>VLOOKUP(TRIM(B128), appointment_data!A:Z, 2, FALSE)</f>
        <v>A3613</v>
      </c>
    </row>
    <row r="128" spans="1:7" x14ac:dyDescent="0.3">
      <c r="A128" t="s">
        <v>279</v>
      </c>
      <c r="B128" t="s">
        <v>280</v>
      </c>
      <c r="C128" t="s">
        <v>70</v>
      </c>
      <c r="D128">
        <v>7</v>
      </c>
      <c r="E128" t="s">
        <v>57</v>
      </c>
      <c r="F128">
        <v>45</v>
      </c>
      <c r="G128" t="str">
        <f>VLOOKUP(TRIM(B129), appointment_data!A:Z, 2, FALSE)</f>
        <v>A8377</v>
      </c>
    </row>
    <row r="129" spans="1:7" x14ac:dyDescent="0.3">
      <c r="A129" t="s">
        <v>281</v>
      </c>
      <c r="B129" t="s">
        <v>282</v>
      </c>
      <c r="C129" t="s">
        <v>23</v>
      </c>
      <c r="D129">
        <v>4</v>
      </c>
      <c r="E129" t="s">
        <v>9</v>
      </c>
      <c r="F129">
        <v>45</v>
      </c>
      <c r="G129" t="str">
        <f>VLOOKUP(TRIM(B130), appointment_data!A:Z, 2, FALSE)</f>
        <v>A6529</v>
      </c>
    </row>
    <row r="130" spans="1:7" x14ac:dyDescent="0.3">
      <c r="A130" t="s">
        <v>283</v>
      </c>
      <c r="B130" t="s">
        <v>284</v>
      </c>
      <c r="C130" t="s">
        <v>65</v>
      </c>
      <c r="D130">
        <v>9</v>
      </c>
      <c r="E130" t="s">
        <v>75</v>
      </c>
      <c r="F130">
        <v>30</v>
      </c>
      <c r="G130" t="str">
        <f>VLOOKUP(TRIM(B131), appointment_data!A:Z, 2, FALSE)</f>
        <v>A2906</v>
      </c>
    </row>
    <row r="131" spans="1:7" x14ac:dyDescent="0.3">
      <c r="A131" t="s">
        <v>285</v>
      </c>
      <c r="B131" t="s">
        <v>286</v>
      </c>
      <c r="C131" t="s">
        <v>12</v>
      </c>
      <c r="D131">
        <v>3</v>
      </c>
      <c r="E131" t="s">
        <v>42</v>
      </c>
      <c r="F131">
        <v>45</v>
      </c>
      <c r="G131" t="str">
        <f>VLOOKUP(TRIM(B132), appointment_data!A:Z, 2, FALSE)</f>
        <v>A2994</v>
      </c>
    </row>
    <row r="132" spans="1:7" x14ac:dyDescent="0.3">
      <c r="A132" t="s">
        <v>287</v>
      </c>
      <c r="B132" t="s">
        <v>288</v>
      </c>
      <c r="C132" t="s">
        <v>8</v>
      </c>
      <c r="D132">
        <v>3</v>
      </c>
      <c r="E132" t="s">
        <v>42</v>
      </c>
      <c r="F132">
        <v>45</v>
      </c>
      <c r="G132" t="str">
        <f>VLOOKUP(TRIM(B133), appointment_data!A:Z, 2, FALSE)</f>
        <v>A6194</v>
      </c>
    </row>
    <row r="133" spans="1:7" x14ac:dyDescent="0.3">
      <c r="A133" t="s">
        <v>289</v>
      </c>
      <c r="B133" t="s">
        <v>290</v>
      </c>
      <c r="C133" t="s">
        <v>65</v>
      </c>
      <c r="D133">
        <v>8</v>
      </c>
      <c r="E133" t="s">
        <v>60</v>
      </c>
      <c r="F133">
        <v>45</v>
      </c>
      <c r="G133" t="str">
        <f>VLOOKUP(TRIM(B134), appointment_data!A:Z, 2, FALSE)</f>
        <v>A5675</v>
      </c>
    </row>
    <row r="134" spans="1:7" x14ac:dyDescent="0.3">
      <c r="A134" t="s">
        <v>291</v>
      </c>
      <c r="B134" t="s">
        <v>292</v>
      </c>
      <c r="C134" t="s">
        <v>8</v>
      </c>
      <c r="D134">
        <v>9</v>
      </c>
      <c r="E134" t="s">
        <v>20</v>
      </c>
      <c r="F134">
        <v>30</v>
      </c>
      <c r="G134" t="str">
        <f>VLOOKUP(TRIM(B135), appointment_data!A:Z, 2, FALSE)</f>
        <v>A7625</v>
      </c>
    </row>
    <row r="135" spans="1:7" x14ac:dyDescent="0.3">
      <c r="A135" t="s">
        <v>293</v>
      </c>
      <c r="B135" t="s">
        <v>294</v>
      </c>
      <c r="C135" t="s">
        <v>864</v>
      </c>
      <c r="D135">
        <v>5</v>
      </c>
      <c r="E135" t="s">
        <v>864</v>
      </c>
      <c r="F135">
        <v>45</v>
      </c>
      <c r="G135" t="str">
        <f>VLOOKUP(TRIM(B136), appointment_data!A:Z, 2, FALSE)</f>
        <v>A2478</v>
      </c>
    </row>
    <row r="136" spans="1:7" x14ac:dyDescent="0.3">
      <c r="A136" t="s">
        <v>295</v>
      </c>
      <c r="B136" t="s">
        <v>296</v>
      </c>
      <c r="C136" t="s">
        <v>65</v>
      </c>
      <c r="D136">
        <v>9</v>
      </c>
      <c r="E136" t="s">
        <v>20</v>
      </c>
      <c r="F136">
        <v>30</v>
      </c>
      <c r="G136" t="str">
        <f>VLOOKUP(TRIM(B137), appointment_data!A:Z, 2, FALSE)</f>
        <v>A3419</v>
      </c>
    </row>
    <row r="137" spans="1:7" x14ac:dyDescent="0.3">
      <c r="A137" t="s">
        <v>297</v>
      </c>
      <c r="B137" t="s">
        <v>298</v>
      </c>
      <c r="C137" t="s">
        <v>8</v>
      </c>
      <c r="D137">
        <v>9</v>
      </c>
      <c r="E137" t="s">
        <v>75</v>
      </c>
      <c r="F137">
        <v>30</v>
      </c>
      <c r="G137" t="str">
        <f>VLOOKUP(TRIM(B138), appointment_data!A:Z, 2, FALSE)</f>
        <v>A8571</v>
      </c>
    </row>
    <row r="138" spans="1:7" x14ac:dyDescent="0.3">
      <c r="A138" t="s">
        <v>299</v>
      </c>
      <c r="B138" t="s">
        <v>300</v>
      </c>
      <c r="C138" t="s">
        <v>12</v>
      </c>
      <c r="D138">
        <v>8</v>
      </c>
      <c r="E138" t="s">
        <v>60</v>
      </c>
      <c r="F138">
        <v>45</v>
      </c>
      <c r="G138" t="str">
        <f>VLOOKUP(TRIM(B139), appointment_data!A:Z, 2, FALSE)</f>
        <v>A5158</v>
      </c>
    </row>
    <row r="139" spans="1:7" x14ac:dyDescent="0.3">
      <c r="A139" t="s">
        <v>301</v>
      </c>
      <c r="B139" t="s">
        <v>302</v>
      </c>
      <c r="C139" t="s">
        <v>23</v>
      </c>
      <c r="D139">
        <v>9</v>
      </c>
      <c r="E139" t="s">
        <v>106</v>
      </c>
      <c r="F139">
        <v>30</v>
      </c>
      <c r="G139" t="str">
        <f>VLOOKUP(TRIM(B140), appointment_data!A:Z, 2, FALSE)</f>
        <v>A9474</v>
      </c>
    </row>
    <row r="140" spans="1:7" x14ac:dyDescent="0.3">
      <c r="A140" t="s">
        <v>303</v>
      </c>
      <c r="B140" t="s">
        <v>304</v>
      </c>
      <c r="C140" t="s">
        <v>23</v>
      </c>
      <c r="D140">
        <v>5</v>
      </c>
      <c r="E140" t="s">
        <v>54</v>
      </c>
      <c r="F140">
        <v>45</v>
      </c>
      <c r="G140" t="str">
        <f>VLOOKUP(TRIM(B141), appointment_data!A:Z, 2, FALSE)</f>
        <v>N/A</v>
      </c>
    </row>
    <row r="141" spans="1:7" x14ac:dyDescent="0.3">
      <c r="A141" t="s">
        <v>305</v>
      </c>
      <c r="B141" t="s">
        <v>306</v>
      </c>
      <c r="C141" t="s">
        <v>23</v>
      </c>
      <c r="D141">
        <v>3</v>
      </c>
      <c r="E141" t="s">
        <v>13</v>
      </c>
      <c r="F141">
        <v>45</v>
      </c>
      <c r="G141" t="str">
        <f>VLOOKUP(TRIM(B142), appointment_data!A:Z, 2, FALSE)</f>
        <v>A3302</v>
      </c>
    </row>
    <row r="142" spans="1:7" x14ac:dyDescent="0.3">
      <c r="A142" t="s">
        <v>307</v>
      </c>
      <c r="B142" t="s">
        <v>308</v>
      </c>
      <c r="C142" t="s">
        <v>70</v>
      </c>
      <c r="D142">
        <v>8</v>
      </c>
      <c r="E142" t="s">
        <v>60</v>
      </c>
      <c r="F142">
        <v>45</v>
      </c>
      <c r="G142" t="str">
        <f>VLOOKUP(TRIM(B143), appointment_data!A:Z, 2, FALSE)</f>
        <v>A8884</v>
      </c>
    </row>
    <row r="143" spans="1:7" x14ac:dyDescent="0.3">
      <c r="A143" t="s">
        <v>309</v>
      </c>
      <c r="B143" t="s">
        <v>310</v>
      </c>
      <c r="C143" t="s">
        <v>23</v>
      </c>
      <c r="D143">
        <v>3</v>
      </c>
      <c r="E143" t="s">
        <v>42</v>
      </c>
      <c r="F143">
        <v>45</v>
      </c>
      <c r="G143" t="str">
        <f>VLOOKUP(TRIM(B144), appointment_data!A:Z, 2, FALSE)</f>
        <v>A4568</v>
      </c>
    </row>
    <row r="144" spans="1:7" x14ac:dyDescent="0.3">
      <c r="A144" t="s">
        <v>311</v>
      </c>
      <c r="B144" t="s">
        <v>312</v>
      </c>
      <c r="C144" t="s">
        <v>12</v>
      </c>
      <c r="D144">
        <v>3</v>
      </c>
      <c r="E144" t="s">
        <v>13</v>
      </c>
      <c r="F144">
        <v>45</v>
      </c>
      <c r="G144" t="str">
        <f>VLOOKUP(TRIM(B145), appointment_data!A:Z, 2, FALSE)</f>
        <v>A4659</v>
      </c>
    </row>
    <row r="145" spans="1:7" x14ac:dyDescent="0.3">
      <c r="A145" t="s">
        <v>313</v>
      </c>
      <c r="B145" t="s">
        <v>314</v>
      </c>
      <c r="C145" t="s">
        <v>12</v>
      </c>
      <c r="D145">
        <v>4</v>
      </c>
      <c r="E145" t="s">
        <v>39</v>
      </c>
      <c r="F145">
        <v>45</v>
      </c>
      <c r="G145" t="str">
        <f>VLOOKUP(TRIM(B146), appointment_data!A:Z, 2, FALSE)</f>
        <v>A2509</v>
      </c>
    </row>
    <row r="146" spans="1:7" x14ac:dyDescent="0.3">
      <c r="A146" t="s">
        <v>315</v>
      </c>
      <c r="B146" t="s">
        <v>316</v>
      </c>
      <c r="C146" t="s">
        <v>19</v>
      </c>
      <c r="D146">
        <v>4</v>
      </c>
      <c r="E146" t="s">
        <v>39</v>
      </c>
      <c r="F146">
        <v>45</v>
      </c>
      <c r="G146" t="str">
        <f>VLOOKUP(TRIM(B147), appointment_data!A:Z, 2, FALSE)</f>
        <v>A5133</v>
      </c>
    </row>
    <row r="147" spans="1:7" x14ac:dyDescent="0.3">
      <c r="A147" t="s">
        <v>317</v>
      </c>
      <c r="B147" t="s">
        <v>318</v>
      </c>
      <c r="C147" t="s">
        <v>23</v>
      </c>
      <c r="D147">
        <v>8</v>
      </c>
      <c r="E147" t="s">
        <v>60</v>
      </c>
      <c r="F147">
        <v>45</v>
      </c>
      <c r="G147" t="str">
        <f>VLOOKUP(TRIM(B148), appointment_data!A:Z, 2, FALSE)</f>
        <v>A5428</v>
      </c>
    </row>
    <row r="148" spans="1:7" x14ac:dyDescent="0.3">
      <c r="A148" t="s">
        <v>319</v>
      </c>
      <c r="B148" t="s">
        <v>320</v>
      </c>
      <c r="C148" t="s">
        <v>70</v>
      </c>
      <c r="D148">
        <v>3</v>
      </c>
      <c r="E148" t="s">
        <v>13</v>
      </c>
      <c r="F148">
        <v>45</v>
      </c>
      <c r="G148" t="str">
        <f>VLOOKUP(TRIM(B149), appointment_data!A:Z, 2, FALSE)</f>
        <v>A6482</v>
      </c>
    </row>
    <row r="149" spans="1:7" x14ac:dyDescent="0.3">
      <c r="A149" t="s">
        <v>321</v>
      </c>
      <c r="B149" t="s">
        <v>322</v>
      </c>
      <c r="C149" t="s">
        <v>8</v>
      </c>
      <c r="D149">
        <v>9</v>
      </c>
      <c r="E149" t="s">
        <v>106</v>
      </c>
      <c r="F149">
        <v>30</v>
      </c>
      <c r="G149" t="str">
        <f>VLOOKUP(TRIM(B150), appointment_data!A:Z, 2, FALSE)</f>
        <v>A3214</v>
      </c>
    </row>
    <row r="150" spans="1:7" x14ac:dyDescent="0.3">
      <c r="A150" t="s">
        <v>323</v>
      </c>
      <c r="B150" t="s">
        <v>324</v>
      </c>
      <c r="C150" t="s">
        <v>8</v>
      </c>
      <c r="D150">
        <v>8</v>
      </c>
      <c r="E150" t="s">
        <v>24</v>
      </c>
      <c r="F150">
        <v>45</v>
      </c>
      <c r="G150" t="str">
        <f>VLOOKUP(TRIM(B151), appointment_data!A:Z, 2, FALSE)</f>
        <v>A9946</v>
      </c>
    </row>
    <row r="151" spans="1:7" x14ac:dyDescent="0.3">
      <c r="A151" t="s">
        <v>325</v>
      </c>
      <c r="B151" t="s">
        <v>326</v>
      </c>
      <c r="C151" t="s">
        <v>12</v>
      </c>
      <c r="D151">
        <v>8</v>
      </c>
      <c r="E151" t="s">
        <v>60</v>
      </c>
      <c r="F151">
        <v>45</v>
      </c>
      <c r="G151" t="str">
        <f>VLOOKUP(TRIM(B152), appointment_data!A:Z, 2, FALSE)</f>
        <v>A1914</v>
      </c>
    </row>
    <row r="152" spans="1:7" x14ac:dyDescent="0.3">
      <c r="A152" t="s">
        <v>327</v>
      </c>
      <c r="B152" t="s">
        <v>328</v>
      </c>
      <c r="C152" t="s">
        <v>23</v>
      </c>
      <c r="D152">
        <v>9</v>
      </c>
      <c r="E152" t="s">
        <v>20</v>
      </c>
      <c r="F152">
        <v>30</v>
      </c>
      <c r="G152" t="str">
        <f>VLOOKUP(TRIM(B153), appointment_data!A:Z, 2, FALSE)</f>
        <v>A8524</v>
      </c>
    </row>
    <row r="153" spans="1:7" x14ac:dyDescent="0.3">
      <c r="A153" t="s">
        <v>329</v>
      </c>
      <c r="B153" t="s">
        <v>330</v>
      </c>
      <c r="C153" t="s">
        <v>23</v>
      </c>
      <c r="D153">
        <v>5</v>
      </c>
      <c r="E153" t="s">
        <v>54</v>
      </c>
      <c r="F153">
        <v>45</v>
      </c>
      <c r="G153" t="str">
        <f>VLOOKUP(TRIM(B154), appointment_data!A:Z, 2, FALSE)</f>
        <v>A2924</v>
      </c>
    </row>
    <row r="154" spans="1:7" x14ac:dyDescent="0.3">
      <c r="A154" t="s">
        <v>331</v>
      </c>
      <c r="B154" t="s">
        <v>332</v>
      </c>
      <c r="C154" t="s">
        <v>19</v>
      </c>
      <c r="D154">
        <v>4</v>
      </c>
      <c r="E154" t="s">
        <v>9</v>
      </c>
      <c r="F154">
        <v>45</v>
      </c>
      <c r="G154" t="str">
        <f>VLOOKUP(TRIM(B155), appointment_data!A:Z, 2, FALSE)</f>
        <v>A7356</v>
      </c>
    </row>
    <row r="155" spans="1:7" x14ac:dyDescent="0.3">
      <c r="A155" t="s">
        <v>333</v>
      </c>
      <c r="B155" t="s">
        <v>334</v>
      </c>
      <c r="C155" t="s">
        <v>864</v>
      </c>
      <c r="D155">
        <v>6.2849740929999998</v>
      </c>
      <c r="E155" t="s">
        <v>60</v>
      </c>
      <c r="F155">
        <v>45</v>
      </c>
      <c r="G155" t="str">
        <f>VLOOKUP(TRIM(B156), appointment_data!A:Z, 2, FALSE)</f>
        <v>A3207</v>
      </c>
    </row>
    <row r="156" spans="1:7" x14ac:dyDescent="0.3">
      <c r="A156" t="s">
        <v>335</v>
      </c>
      <c r="B156" t="s">
        <v>336</v>
      </c>
      <c r="C156" t="s">
        <v>8</v>
      </c>
      <c r="D156">
        <v>8</v>
      </c>
      <c r="E156" t="s">
        <v>60</v>
      </c>
      <c r="F156">
        <v>45</v>
      </c>
      <c r="G156" t="str">
        <f>VLOOKUP(TRIM(B157), appointment_data!A:Z, 2, FALSE)</f>
        <v>A8095</v>
      </c>
    </row>
    <row r="157" spans="1:7" x14ac:dyDescent="0.3">
      <c r="A157" t="s">
        <v>337</v>
      </c>
      <c r="B157" t="s">
        <v>338</v>
      </c>
      <c r="C157" t="s">
        <v>23</v>
      </c>
      <c r="D157">
        <v>3</v>
      </c>
      <c r="E157" t="s">
        <v>13</v>
      </c>
      <c r="F157">
        <v>45</v>
      </c>
      <c r="G157" t="str">
        <f>VLOOKUP(TRIM(B158), appointment_data!A:Z, 2, FALSE)</f>
        <v>A8676</v>
      </c>
    </row>
    <row r="158" spans="1:7" x14ac:dyDescent="0.3">
      <c r="A158" t="s">
        <v>339</v>
      </c>
      <c r="B158" t="s">
        <v>340</v>
      </c>
      <c r="C158" t="s">
        <v>19</v>
      </c>
      <c r="D158">
        <v>4</v>
      </c>
      <c r="E158" t="s">
        <v>9</v>
      </c>
      <c r="F158">
        <v>45</v>
      </c>
      <c r="G158" t="str">
        <f>VLOOKUP(TRIM(B159), appointment_data!A:Z, 2, FALSE)</f>
        <v>A6110</v>
      </c>
    </row>
    <row r="159" spans="1:7" x14ac:dyDescent="0.3">
      <c r="A159" t="s">
        <v>341</v>
      </c>
      <c r="B159" t="s">
        <v>342</v>
      </c>
      <c r="C159" t="s">
        <v>23</v>
      </c>
      <c r="D159">
        <v>9</v>
      </c>
      <c r="E159" t="s">
        <v>75</v>
      </c>
      <c r="F159">
        <v>30</v>
      </c>
      <c r="G159" t="str">
        <f>VLOOKUP(TRIM(B160), appointment_data!A:Z, 2, FALSE)</f>
        <v>A9091</v>
      </c>
    </row>
    <row r="160" spans="1:7" x14ac:dyDescent="0.3">
      <c r="A160" t="s">
        <v>343</v>
      </c>
      <c r="B160" t="s">
        <v>344</v>
      </c>
      <c r="C160" t="s">
        <v>23</v>
      </c>
      <c r="D160">
        <v>6</v>
      </c>
      <c r="E160" t="s">
        <v>42</v>
      </c>
      <c r="F160">
        <v>45</v>
      </c>
      <c r="G160" t="str">
        <f>VLOOKUP(TRIM(B161), appointment_data!A:Z, 2, FALSE)</f>
        <v>A7078</v>
      </c>
    </row>
    <row r="161" spans="1:7" x14ac:dyDescent="0.3">
      <c r="A161" t="s">
        <v>345</v>
      </c>
      <c r="B161" t="s">
        <v>346</v>
      </c>
      <c r="C161" t="s">
        <v>65</v>
      </c>
      <c r="D161">
        <v>4</v>
      </c>
      <c r="E161" t="s">
        <v>42</v>
      </c>
      <c r="F161">
        <v>45</v>
      </c>
      <c r="G161" t="str">
        <f>VLOOKUP(TRIM(B162), appointment_data!A:Z, 2, FALSE)</f>
        <v>N/A</v>
      </c>
    </row>
    <row r="162" spans="1:7" x14ac:dyDescent="0.3">
      <c r="A162" t="s">
        <v>347</v>
      </c>
      <c r="B162" t="s">
        <v>348</v>
      </c>
      <c r="C162" t="s">
        <v>65</v>
      </c>
      <c r="D162">
        <v>9</v>
      </c>
      <c r="E162" t="s">
        <v>16</v>
      </c>
      <c r="F162">
        <v>30</v>
      </c>
      <c r="G162" t="str">
        <f>VLOOKUP(TRIM(B163), appointment_data!A:Z, 2, FALSE)</f>
        <v>A6318</v>
      </c>
    </row>
    <row r="163" spans="1:7" x14ac:dyDescent="0.3">
      <c r="A163" t="s">
        <v>349</v>
      </c>
      <c r="B163" t="s">
        <v>350</v>
      </c>
      <c r="C163" t="s">
        <v>23</v>
      </c>
      <c r="D163">
        <v>4</v>
      </c>
      <c r="E163" t="s">
        <v>9</v>
      </c>
      <c r="F163">
        <v>45</v>
      </c>
      <c r="G163" t="str">
        <f>VLOOKUP(TRIM(B164), appointment_data!A:Z, 2, FALSE)</f>
        <v>A2447</v>
      </c>
    </row>
    <row r="164" spans="1:7" x14ac:dyDescent="0.3">
      <c r="A164" t="s">
        <v>351</v>
      </c>
      <c r="B164" t="s">
        <v>352</v>
      </c>
      <c r="C164" t="s">
        <v>12</v>
      </c>
      <c r="D164">
        <v>8</v>
      </c>
      <c r="E164" t="s">
        <v>60</v>
      </c>
      <c r="F164">
        <v>45</v>
      </c>
      <c r="G164" t="str">
        <f>VLOOKUP(TRIM(B165), appointment_data!A:Z, 2, FALSE)</f>
        <v>A7151</v>
      </c>
    </row>
    <row r="165" spans="1:7" x14ac:dyDescent="0.3">
      <c r="A165" t="s">
        <v>353</v>
      </c>
      <c r="B165" t="s">
        <v>354</v>
      </c>
      <c r="C165" t="s">
        <v>70</v>
      </c>
      <c r="D165">
        <v>4</v>
      </c>
      <c r="E165" t="s">
        <v>42</v>
      </c>
      <c r="F165">
        <v>45</v>
      </c>
      <c r="G165" t="str">
        <f>VLOOKUP(TRIM(B166), appointment_data!A:Z, 2, FALSE)</f>
        <v>A9386</v>
      </c>
    </row>
    <row r="166" spans="1:7" x14ac:dyDescent="0.3">
      <c r="A166" t="s">
        <v>355</v>
      </c>
      <c r="B166" t="s">
        <v>356</v>
      </c>
      <c r="C166" t="s">
        <v>12</v>
      </c>
      <c r="D166">
        <v>7</v>
      </c>
      <c r="E166" t="s">
        <v>32</v>
      </c>
      <c r="F166">
        <v>45</v>
      </c>
      <c r="G166" t="str">
        <f>VLOOKUP(TRIM(B167), appointment_data!A:Z, 2, FALSE)</f>
        <v>A2462</v>
      </c>
    </row>
    <row r="167" spans="1:7" x14ac:dyDescent="0.3">
      <c r="A167" t="s">
        <v>357</v>
      </c>
      <c r="B167" t="s">
        <v>358</v>
      </c>
      <c r="C167" t="s">
        <v>12</v>
      </c>
      <c r="D167">
        <v>9</v>
      </c>
      <c r="E167" t="s">
        <v>106</v>
      </c>
      <c r="F167">
        <v>30</v>
      </c>
      <c r="G167" t="str">
        <f>VLOOKUP(TRIM(B168), appointment_data!A:Z, 2, FALSE)</f>
        <v>A1120</v>
      </c>
    </row>
    <row r="168" spans="1:7" x14ac:dyDescent="0.3">
      <c r="A168" t="s">
        <v>359</v>
      </c>
      <c r="B168" t="s">
        <v>360</v>
      </c>
      <c r="C168" t="s">
        <v>65</v>
      </c>
      <c r="D168">
        <v>8</v>
      </c>
      <c r="E168" t="s">
        <v>24</v>
      </c>
      <c r="F168">
        <v>45</v>
      </c>
      <c r="G168" t="str">
        <f>VLOOKUP(TRIM(B169), appointment_data!A:Z, 2, FALSE)</f>
        <v>A2187</v>
      </c>
    </row>
    <row r="169" spans="1:7" x14ac:dyDescent="0.3">
      <c r="A169" t="s">
        <v>361</v>
      </c>
      <c r="B169" t="s">
        <v>362</v>
      </c>
      <c r="C169" t="s">
        <v>8</v>
      </c>
      <c r="D169">
        <v>6</v>
      </c>
      <c r="E169" t="s">
        <v>51</v>
      </c>
      <c r="F169">
        <v>45</v>
      </c>
      <c r="G169" t="str">
        <f>VLOOKUP(TRIM(B170), appointment_data!A:Z, 2, FALSE)</f>
        <v>A8535</v>
      </c>
    </row>
    <row r="170" spans="1:7" x14ac:dyDescent="0.3">
      <c r="A170" t="s">
        <v>363</v>
      </c>
      <c r="B170" t="s">
        <v>364</v>
      </c>
      <c r="C170" t="s">
        <v>65</v>
      </c>
      <c r="D170">
        <v>3</v>
      </c>
      <c r="E170" t="s">
        <v>13</v>
      </c>
      <c r="F170">
        <v>45</v>
      </c>
      <c r="G170" t="str">
        <f>VLOOKUP(TRIM(B171), appointment_data!A:Z, 2, FALSE)</f>
        <v>A1625</v>
      </c>
    </row>
    <row r="171" spans="1:7" x14ac:dyDescent="0.3">
      <c r="A171" t="s">
        <v>365</v>
      </c>
      <c r="B171" t="s">
        <v>366</v>
      </c>
      <c r="C171" t="s">
        <v>65</v>
      </c>
      <c r="D171">
        <v>6</v>
      </c>
      <c r="E171" t="s">
        <v>51</v>
      </c>
      <c r="F171">
        <v>45</v>
      </c>
      <c r="G171" t="str">
        <f>VLOOKUP(TRIM(B172), appointment_data!A:Z, 2, FALSE)</f>
        <v>A9986</v>
      </c>
    </row>
    <row r="172" spans="1:7" x14ac:dyDescent="0.3">
      <c r="A172" t="s">
        <v>367</v>
      </c>
      <c r="B172" t="s">
        <v>368</v>
      </c>
      <c r="C172" t="s">
        <v>8</v>
      </c>
      <c r="D172">
        <v>4</v>
      </c>
      <c r="E172" t="s">
        <v>39</v>
      </c>
      <c r="F172">
        <v>45</v>
      </c>
      <c r="G172" t="str">
        <f>VLOOKUP(TRIM(B173), appointment_data!A:Z, 2, FALSE)</f>
        <v>A6445</v>
      </c>
    </row>
    <row r="173" spans="1:7" x14ac:dyDescent="0.3">
      <c r="A173" t="s">
        <v>369</v>
      </c>
      <c r="B173" t="s">
        <v>370</v>
      </c>
      <c r="C173" t="s">
        <v>8</v>
      </c>
      <c r="D173">
        <v>9</v>
      </c>
      <c r="E173" t="s">
        <v>75</v>
      </c>
      <c r="F173">
        <v>30</v>
      </c>
      <c r="G173" t="str">
        <f>VLOOKUP(TRIM(B174), appointment_data!A:Z, 2, FALSE)</f>
        <v>A8557</v>
      </c>
    </row>
    <row r="174" spans="1:7" x14ac:dyDescent="0.3">
      <c r="A174" t="s">
        <v>371</v>
      </c>
      <c r="B174" t="s">
        <v>372</v>
      </c>
      <c r="C174" t="s">
        <v>23</v>
      </c>
      <c r="D174">
        <v>7</v>
      </c>
      <c r="E174" t="s">
        <v>32</v>
      </c>
      <c r="F174">
        <v>45</v>
      </c>
      <c r="G174" t="str">
        <f>VLOOKUP(TRIM(B175), appointment_data!A:Z, 2, FALSE)</f>
        <v>A2482</v>
      </c>
    </row>
    <row r="175" spans="1:7" x14ac:dyDescent="0.3">
      <c r="A175" t="s">
        <v>373</v>
      </c>
      <c r="B175" t="s">
        <v>374</v>
      </c>
      <c r="C175" t="s">
        <v>23</v>
      </c>
      <c r="D175">
        <v>7</v>
      </c>
      <c r="E175" t="s">
        <v>57</v>
      </c>
      <c r="F175">
        <v>45</v>
      </c>
      <c r="G175" t="str">
        <f>VLOOKUP(TRIM(B176), appointment_data!A:Z, 2, FALSE)</f>
        <v>A6526</v>
      </c>
    </row>
    <row r="176" spans="1:7" x14ac:dyDescent="0.3">
      <c r="A176" t="s">
        <v>375</v>
      </c>
      <c r="B176" t="s">
        <v>376</v>
      </c>
      <c r="C176" t="s">
        <v>8</v>
      </c>
      <c r="D176">
        <v>8</v>
      </c>
      <c r="E176" t="s">
        <v>60</v>
      </c>
      <c r="F176">
        <v>45</v>
      </c>
      <c r="G176" t="str">
        <f>VLOOKUP(TRIM(B177), appointment_data!A:Z, 2, FALSE)</f>
        <v>A6440</v>
      </c>
    </row>
    <row r="177" spans="1:7" x14ac:dyDescent="0.3">
      <c r="A177" t="s">
        <v>377</v>
      </c>
      <c r="B177" t="s">
        <v>378</v>
      </c>
      <c r="C177" t="s">
        <v>8</v>
      </c>
      <c r="D177">
        <v>9</v>
      </c>
      <c r="E177" t="s">
        <v>16</v>
      </c>
      <c r="F177">
        <v>30</v>
      </c>
      <c r="G177" t="str">
        <f>VLOOKUP(TRIM(B178), appointment_data!A:Z, 2, FALSE)</f>
        <v>A6172</v>
      </c>
    </row>
    <row r="178" spans="1:7" x14ac:dyDescent="0.3">
      <c r="A178" t="s">
        <v>379</v>
      </c>
      <c r="B178" t="s">
        <v>380</v>
      </c>
      <c r="C178" t="s">
        <v>23</v>
      </c>
      <c r="D178">
        <v>9</v>
      </c>
      <c r="E178" t="s">
        <v>75</v>
      </c>
      <c r="F178">
        <v>30</v>
      </c>
      <c r="G178" t="str">
        <f>VLOOKUP(TRIM(B179), appointment_data!A:Z, 2, FALSE)</f>
        <v>A3589</v>
      </c>
    </row>
    <row r="179" spans="1:7" x14ac:dyDescent="0.3">
      <c r="A179" t="s">
        <v>381</v>
      </c>
      <c r="B179" t="s">
        <v>382</v>
      </c>
      <c r="C179" t="s">
        <v>23</v>
      </c>
      <c r="D179">
        <v>6</v>
      </c>
      <c r="E179" t="s">
        <v>51</v>
      </c>
      <c r="F179">
        <v>45</v>
      </c>
      <c r="G179" t="str">
        <f>VLOOKUP(TRIM(B180), appointment_data!A:Z, 2, FALSE)</f>
        <v>A4019</v>
      </c>
    </row>
    <row r="180" spans="1:7" x14ac:dyDescent="0.3">
      <c r="A180" t="s">
        <v>383</v>
      </c>
      <c r="B180" t="s">
        <v>384</v>
      </c>
      <c r="C180" t="s">
        <v>70</v>
      </c>
      <c r="D180">
        <v>4</v>
      </c>
      <c r="E180" t="s">
        <v>9</v>
      </c>
      <c r="F180">
        <v>45</v>
      </c>
      <c r="G180" t="str">
        <f>VLOOKUP(TRIM(B181), appointment_data!A:Z, 2, FALSE)</f>
        <v>A3259</v>
      </c>
    </row>
    <row r="181" spans="1:7" x14ac:dyDescent="0.3">
      <c r="A181" t="s">
        <v>385</v>
      </c>
      <c r="B181" t="s">
        <v>386</v>
      </c>
      <c r="C181" t="s">
        <v>19</v>
      </c>
      <c r="D181">
        <v>6</v>
      </c>
      <c r="E181" t="s">
        <v>51</v>
      </c>
      <c r="F181">
        <v>45</v>
      </c>
      <c r="G181" t="str">
        <f>VLOOKUP(TRIM(B182), appointment_data!A:Z, 2, FALSE)</f>
        <v>A6695</v>
      </c>
    </row>
    <row r="182" spans="1:7" x14ac:dyDescent="0.3">
      <c r="A182" t="s">
        <v>387</v>
      </c>
      <c r="B182" t="s">
        <v>388</v>
      </c>
      <c r="C182" t="s">
        <v>23</v>
      </c>
      <c r="D182">
        <v>8</v>
      </c>
      <c r="E182" t="s">
        <v>60</v>
      </c>
      <c r="F182">
        <v>45</v>
      </c>
      <c r="G182" t="str">
        <f>VLOOKUP(TRIM(B183), appointment_data!A:Z, 2, FALSE)</f>
        <v>A2197</v>
      </c>
    </row>
    <row r="183" spans="1:7" x14ac:dyDescent="0.3">
      <c r="A183" t="s">
        <v>389</v>
      </c>
      <c r="B183" t="s">
        <v>390</v>
      </c>
      <c r="C183" t="s">
        <v>65</v>
      </c>
      <c r="D183">
        <v>8</v>
      </c>
      <c r="E183" t="s">
        <v>60</v>
      </c>
      <c r="F183">
        <v>45</v>
      </c>
      <c r="G183" t="str">
        <f>VLOOKUP(TRIM(B184), appointment_data!A:Z, 2, FALSE)</f>
        <v>A9356</v>
      </c>
    </row>
    <row r="184" spans="1:7" x14ac:dyDescent="0.3">
      <c r="A184" t="s">
        <v>391</v>
      </c>
      <c r="B184" t="s">
        <v>392</v>
      </c>
      <c r="C184" t="s">
        <v>8</v>
      </c>
      <c r="D184">
        <v>9</v>
      </c>
      <c r="E184" t="s">
        <v>16</v>
      </c>
      <c r="F184">
        <v>30</v>
      </c>
      <c r="G184" t="str">
        <f>VLOOKUP(TRIM(B185), appointment_data!A:Z, 2, FALSE)</f>
        <v>A9238</v>
      </c>
    </row>
    <row r="185" spans="1:7" x14ac:dyDescent="0.3">
      <c r="A185" t="s">
        <v>393</v>
      </c>
      <c r="B185" t="s">
        <v>394</v>
      </c>
      <c r="C185" t="s">
        <v>19</v>
      </c>
      <c r="D185">
        <v>5</v>
      </c>
      <c r="E185" t="s">
        <v>54</v>
      </c>
      <c r="F185">
        <v>45</v>
      </c>
      <c r="G185" t="str">
        <f>VLOOKUP(TRIM(B186), appointment_data!A:Z, 2, FALSE)</f>
        <v>A6497</v>
      </c>
    </row>
    <row r="186" spans="1:7" x14ac:dyDescent="0.3">
      <c r="A186" t="s">
        <v>395</v>
      </c>
      <c r="B186" t="s">
        <v>396</v>
      </c>
      <c r="C186" t="s">
        <v>19</v>
      </c>
      <c r="D186">
        <v>5</v>
      </c>
      <c r="E186" t="s">
        <v>54</v>
      </c>
      <c r="F186">
        <v>45</v>
      </c>
      <c r="G186" t="str">
        <f>VLOOKUP(TRIM(B187), appointment_data!A:Z, 2, FALSE)</f>
        <v>N/A</v>
      </c>
    </row>
    <row r="187" spans="1:7" x14ac:dyDescent="0.3">
      <c r="A187" t="s">
        <v>397</v>
      </c>
      <c r="B187" t="s">
        <v>398</v>
      </c>
      <c r="C187" t="s">
        <v>70</v>
      </c>
      <c r="D187">
        <v>6</v>
      </c>
      <c r="E187" t="s">
        <v>51</v>
      </c>
      <c r="F187">
        <v>45</v>
      </c>
      <c r="G187" t="str">
        <f>VLOOKUP(TRIM(B188), appointment_data!A:Z, 2, FALSE)</f>
        <v>A2454</v>
      </c>
    </row>
    <row r="188" spans="1:7" x14ac:dyDescent="0.3">
      <c r="A188" t="s">
        <v>399</v>
      </c>
      <c r="B188" t="s">
        <v>400</v>
      </c>
      <c r="C188" t="s">
        <v>19</v>
      </c>
      <c r="D188">
        <v>7</v>
      </c>
      <c r="E188" t="s">
        <v>27</v>
      </c>
      <c r="F188">
        <v>45</v>
      </c>
      <c r="G188" t="str">
        <f>VLOOKUP(TRIM(B189), appointment_data!A:Z, 2, FALSE)</f>
        <v>A7982</v>
      </c>
    </row>
    <row r="189" spans="1:7" x14ac:dyDescent="0.3">
      <c r="A189" t="s">
        <v>401</v>
      </c>
      <c r="B189" t="s">
        <v>402</v>
      </c>
      <c r="C189" t="s">
        <v>65</v>
      </c>
      <c r="D189">
        <v>3</v>
      </c>
      <c r="E189" t="s">
        <v>42</v>
      </c>
      <c r="F189">
        <v>45</v>
      </c>
      <c r="G189" t="str">
        <f>VLOOKUP(TRIM(B190), appointment_data!A:Z, 2, FALSE)</f>
        <v>A6772</v>
      </c>
    </row>
    <row r="190" spans="1:7" x14ac:dyDescent="0.3">
      <c r="A190" t="s">
        <v>403</v>
      </c>
      <c r="B190" t="s">
        <v>404</v>
      </c>
      <c r="C190" t="s">
        <v>19</v>
      </c>
      <c r="D190">
        <v>8</v>
      </c>
      <c r="E190" t="s">
        <v>60</v>
      </c>
      <c r="F190">
        <v>45</v>
      </c>
      <c r="G190" t="str">
        <f>VLOOKUP(TRIM(B191), appointment_data!A:Z, 2, FALSE)</f>
        <v>A5366</v>
      </c>
    </row>
    <row r="191" spans="1:7" x14ac:dyDescent="0.3">
      <c r="A191" t="s">
        <v>405</v>
      </c>
      <c r="B191" t="s">
        <v>406</v>
      </c>
      <c r="C191" t="s">
        <v>65</v>
      </c>
      <c r="D191">
        <v>4</v>
      </c>
      <c r="E191" t="s">
        <v>9</v>
      </c>
      <c r="F191">
        <v>45</v>
      </c>
      <c r="G191" t="str">
        <f>VLOOKUP(TRIM(B192), appointment_data!A:Z, 2, FALSE)</f>
        <v>A6174</v>
      </c>
    </row>
    <row r="192" spans="1:7" x14ac:dyDescent="0.3">
      <c r="A192" t="s">
        <v>407</v>
      </c>
      <c r="B192" t="s">
        <v>408</v>
      </c>
      <c r="C192" t="s">
        <v>70</v>
      </c>
      <c r="D192">
        <v>3</v>
      </c>
      <c r="E192" t="s">
        <v>42</v>
      </c>
      <c r="F192">
        <v>45</v>
      </c>
      <c r="G192" t="str">
        <f>VLOOKUP(TRIM(B193), appointment_data!A:Z, 2, FALSE)</f>
        <v>A6971</v>
      </c>
    </row>
    <row r="193" spans="1:7" x14ac:dyDescent="0.3">
      <c r="A193" t="s">
        <v>409</v>
      </c>
      <c r="B193" t="s">
        <v>410</v>
      </c>
      <c r="C193" t="s">
        <v>8</v>
      </c>
      <c r="D193">
        <v>9</v>
      </c>
      <c r="E193" t="s">
        <v>20</v>
      </c>
      <c r="F193">
        <v>30</v>
      </c>
      <c r="G193" t="str">
        <f>VLOOKUP(TRIM(B194), appointment_data!A:Z, 2, FALSE)</f>
        <v>A7748</v>
      </c>
    </row>
    <row r="194" spans="1:7" x14ac:dyDescent="0.3">
      <c r="A194" t="s">
        <v>411</v>
      </c>
      <c r="B194" t="s">
        <v>412</v>
      </c>
      <c r="C194" t="s">
        <v>8</v>
      </c>
      <c r="D194">
        <v>9</v>
      </c>
      <c r="E194" t="s">
        <v>75</v>
      </c>
      <c r="F194">
        <v>30</v>
      </c>
      <c r="G194" t="str">
        <f>VLOOKUP(TRIM(B195), appointment_data!A:Z, 2, FALSE)</f>
        <v>A7444</v>
      </c>
    </row>
    <row r="195" spans="1:7" x14ac:dyDescent="0.3">
      <c r="A195" t="s">
        <v>413</v>
      </c>
      <c r="B195" t="s">
        <v>414</v>
      </c>
      <c r="C195" t="s">
        <v>19</v>
      </c>
      <c r="D195">
        <v>8</v>
      </c>
      <c r="E195" t="s">
        <v>60</v>
      </c>
      <c r="F195">
        <v>45</v>
      </c>
      <c r="G195" t="str">
        <f>VLOOKUP(TRIM(B196), appointment_data!A:Z, 2, FALSE)</f>
        <v>A9632</v>
      </c>
    </row>
    <row r="196" spans="1:7" x14ac:dyDescent="0.3">
      <c r="A196" t="s">
        <v>415</v>
      </c>
      <c r="B196" t="s">
        <v>416</v>
      </c>
      <c r="C196" t="s">
        <v>70</v>
      </c>
      <c r="D196">
        <v>6</v>
      </c>
      <c r="E196" t="s">
        <v>51</v>
      </c>
      <c r="F196">
        <v>45</v>
      </c>
      <c r="G196" t="str">
        <f>VLOOKUP(TRIM(B197), appointment_data!A:Z, 2, FALSE)</f>
        <v>A1765</v>
      </c>
    </row>
    <row r="197" spans="1:7" x14ac:dyDescent="0.3">
      <c r="A197" t="s">
        <v>417</v>
      </c>
      <c r="B197" t="s">
        <v>418</v>
      </c>
      <c r="C197" t="s">
        <v>864</v>
      </c>
      <c r="D197">
        <v>6.2849740929999998</v>
      </c>
      <c r="E197" t="s">
        <v>75</v>
      </c>
      <c r="F197">
        <v>41.479591839999998</v>
      </c>
      <c r="G197" t="str">
        <f>VLOOKUP(TRIM(B198), appointment_data!A:Z, 2, FALSE)</f>
        <v>A3732</v>
      </c>
    </row>
    <row r="198" spans="1:7" x14ac:dyDescent="0.3">
      <c r="A198" t="s">
        <v>419</v>
      </c>
      <c r="B198" t="s">
        <v>420</v>
      </c>
      <c r="C198" t="s">
        <v>65</v>
      </c>
      <c r="D198">
        <v>3</v>
      </c>
      <c r="E198" t="s">
        <v>13</v>
      </c>
      <c r="F198">
        <v>45</v>
      </c>
      <c r="G198" t="str">
        <f>VLOOKUP(TRIM(B199), appointment_data!A:Z, 2, FALSE)</f>
        <v>A5220</v>
      </c>
    </row>
    <row r="199" spans="1:7" x14ac:dyDescent="0.3">
      <c r="A199" t="s">
        <v>421</v>
      </c>
      <c r="B199" t="s">
        <v>422</v>
      </c>
      <c r="C199" t="s">
        <v>65</v>
      </c>
      <c r="D199">
        <v>9</v>
      </c>
      <c r="E199" t="s">
        <v>20</v>
      </c>
      <c r="F199">
        <v>30</v>
      </c>
      <c r="G199" t="str">
        <f>VLOOKUP(TRIM(B200), appointment_data!A:Z, 2, FALSE)</f>
        <v>A5292</v>
      </c>
    </row>
    <row r="200" spans="1:7" x14ac:dyDescent="0.3">
      <c r="A200" t="s">
        <v>423</v>
      </c>
      <c r="B200" t="s">
        <v>424</v>
      </c>
      <c r="C200" t="s">
        <v>8</v>
      </c>
      <c r="D200">
        <v>5</v>
      </c>
      <c r="E200" t="s">
        <v>54</v>
      </c>
      <c r="F200">
        <v>45</v>
      </c>
      <c r="G200" t="e">
        <f>VLOOKUP(TRIM(B201), appointment_data!A:Z, 2, FALSE)</f>
        <v>#N/A</v>
      </c>
    </row>
  </sheetData>
  <conditionalFormatting sqref="A1:G200">
    <cfRule type="containsBlanks" dxfId="7" priority="1">
      <formula>LEN(TRIM(A1))=0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492DC-506F-4A94-B05A-F06094A30847}">
  <dimension ref="A1:H200"/>
  <sheetViews>
    <sheetView topLeftCell="A174" workbookViewId="0"/>
  </sheetViews>
  <sheetFormatPr defaultRowHeight="14.4" x14ac:dyDescent="0.3"/>
  <cols>
    <col min="1" max="1" width="8.5546875" bestFit="1" customWidth="1"/>
    <col min="2" max="2" width="10.33203125" bestFit="1" customWidth="1"/>
    <col min="3" max="3" width="11.33203125" style="2" bestFit="1" customWidth="1"/>
    <col min="4" max="4" width="15.33203125" bestFit="1" customWidth="1"/>
    <col min="5" max="5" width="13.77734375" bestFit="1" customWidth="1"/>
    <col min="6" max="6" width="19.77734375" bestFit="1" customWidth="1"/>
    <col min="7" max="7" width="15.44140625" bestFit="1" customWidth="1"/>
    <col min="8" max="8" width="15.33203125" bestFit="1" customWidth="1"/>
  </cols>
  <sheetData>
    <row r="1" spans="1:8" x14ac:dyDescent="0.3">
      <c r="A1" t="s">
        <v>1</v>
      </c>
      <c r="B1" s="1" t="s">
        <v>427</v>
      </c>
      <c r="C1" s="2" t="s">
        <v>428</v>
      </c>
      <c r="D1" t="s">
        <v>2</v>
      </c>
      <c r="E1" t="s">
        <v>3</v>
      </c>
      <c r="F1" t="s">
        <v>4</v>
      </c>
      <c r="G1" t="s">
        <v>5</v>
      </c>
      <c r="H1" t="s">
        <v>865</v>
      </c>
    </row>
    <row r="2" spans="1:8" x14ac:dyDescent="0.3">
      <c r="A2" t="s">
        <v>7</v>
      </c>
      <c r="B2" s="3">
        <f>VLOOKUP(A2, appointment_data!A:G, 5, FALSE)</f>
        <v>45292</v>
      </c>
      <c r="C2" s="2" t="str">
        <f>VLOOKUP(A2, appointment_data!A:G, 6, FALSE)</f>
        <v>N/A</v>
      </c>
      <c r="D2" t="s">
        <v>8</v>
      </c>
      <c r="E2">
        <v>4</v>
      </c>
      <c r="F2" t="s">
        <v>9</v>
      </c>
      <c r="G2">
        <v>45</v>
      </c>
      <c r="H2" t="str">
        <f>IF(E2&gt;=4, "High", "Low")</f>
        <v>High</v>
      </c>
    </row>
    <row r="3" spans="1:8" x14ac:dyDescent="0.3">
      <c r="A3" t="s">
        <v>11</v>
      </c>
      <c r="B3" s="3">
        <f>VLOOKUP(A3, appointment_data!A:G, 5, FALSE)</f>
        <v>45545</v>
      </c>
      <c r="C3" s="2">
        <f>VLOOKUP(A3, appointment_data!A:G, 6, FALSE)</f>
        <v>0.54166666666666663</v>
      </c>
      <c r="D3" t="s">
        <v>12</v>
      </c>
      <c r="E3">
        <v>3</v>
      </c>
      <c r="F3" t="s">
        <v>13</v>
      </c>
      <c r="G3">
        <v>45</v>
      </c>
      <c r="H3" t="str">
        <f t="shared" ref="H3:H66" si="0">IF(E3&gt;=4, "High", "Low")</f>
        <v>Low</v>
      </c>
    </row>
    <row r="4" spans="1:8" x14ac:dyDescent="0.3">
      <c r="A4" t="s">
        <v>15</v>
      </c>
      <c r="B4" s="3">
        <f>VLOOKUP(A4, appointment_data!A:G, 5, FALSE)</f>
        <v>45643</v>
      </c>
      <c r="C4" s="2">
        <f>VLOOKUP(A4, appointment_data!A:G, 6, FALSE)</f>
        <v>0.625</v>
      </c>
      <c r="D4" t="s">
        <v>864</v>
      </c>
      <c r="E4">
        <v>6.2849740929999998</v>
      </c>
      <c r="F4" t="s">
        <v>16</v>
      </c>
      <c r="G4">
        <v>30</v>
      </c>
      <c r="H4" t="str">
        <f t="shared" si="0"/>
        <v>High</v>
      </c>
    </row>
    <row r="5" spans="1:8" x14ac:dyDescent="0.3">
      <c r="A5" t="s">
        <v>18</v>
      </c>
      <c r="B5" s="3">
        <f>VLOOKUP(A5, appointment_data!A:G, 5, FALSE)</f>
        <v>45482</v>
      </c>
      <c r="C5" s="2">
        <f>VLOOKUP(A5, appointment_data!A:G, 6, FALSE)</f>
        <v>0.64583333333333337</v>
      </c>
      <c r="D5" t="s">
        <v>19</v>
      </c>
      <c r="E5">
        <v>9</v>
      </c>
      <c r="F5" t="s">
        <v>20</v>
      </c>
      <c r="G5">
        <v>30</v>
      </c>
      <c r="H5" t="str">
        <f t="shared" si="0"/>
        <v>High</v>
      </c>
    </row>
    <row r="6" spans="1:8" x14ac:dyDescent="0.3">
      <c r="A6" t="s">
        <v>22</v>
      </c>
      <c r="B6" s="3">
        <f>VLOOKUP(A6, appointment_data!A:G, 5, FALSE)</f>
        <v>45516</v>
      </c>
      <c r="C6" s="2">
        <f>VLOOKUP(A6, appointment_data!A:G, 6, FALSE)</f>
        <v>0.75</v>
      </c>
      <c r="D6" t="s">
        <v>23</v>
      </c>
      <c r="E6">
        <v>8</v>
      </c>
      <c r="F6" t="s">
        <v>24</v>
      </c>
      <c r="G6">
        <v>45</v>
      </c>
      <c r="H6" t="str">
        <f t="shared" si="0"/>
        <v>High</v>
      </c>
    </row>
    <row r="7" spans="1:8" x14ac:dyDescent="0.3">
      <c r="A7" t="s">
        <v>26</v>
      </c>
      <c r="B7" s="3">
        <f>VLOOKUP(A7, appointment_data!A:G, 5, FALSE)</f>
        <v>45357</v>
      </c>
      <c r="C7" s="2">
        <f>VLOOKUP(A7, appointment_data!A:G, 6, FALSE)</f>
        <v>0.72916666666666663</v>
      </c>
      <c r="D7" t="s">
        <v>23</v>
      </c>
      <c r="E7">
        <v>5</v>
      </c>
      <c r="F7" t="s">
        <v>27</v>
      </c>
      <c r="G7">
        <v>45</v>
      </c>
      <c r="H7" t="str">
        <f t="shared" si="0"/>
        <v>High</v>
      </c>
    </row>
    <row r="8" spans="1:8" x14ac:dyDescent="0.3">
      <c r="A8" t="s">
        <v>29</v>
      </c>
      <c r="B8" s="3">
        <f>VLOOKUP(A8, appointment_data!A:G, 5, FALSE)</f>
        <v>45383</v>
      </c>
      <c r="C8" s="2">
        <f>VLOOKUP(A8, appointment_data!A:G, 6, FALSE)</f>
        <v>0.45833333333333331</v>
      </c>
      <c r="D8" t="s">
        <v>19</v>
      </c>
      <c r="E8">
        <v>4</v>
      </c>
      <c r="F8" t="s">
        <v>9</v>
      </c>
      <c r="G8">
        <v>45</v>
      </c>
      <c r="H8" t="str">
        <f t="shared" si="0"/>
        <v>High</v>
      </c>
    </row>
    <row r="9" spans="1:8" x14ac:dyDescent="0.3">
      <c r="A9" t="s">
        <v>31</v>
      </c>
      <c r="B9" s="3">
        <f>VLOOKUP(A9, appointment_data!A:G, 5, FALSE)</f>
        <v>45581</v>
      </c>
      <c r="C9" s="2">
        <f>VLOOKUP(A9, appointment_data!A:G, 6, FALSE)</f>
        <v>0.625</v>
      </c>
      <c r="D9" t="s">
        <v>19</v>
      </c>
      <c r="E9">
        <v>7</v>
      </c>
      <c r="F9" t="s">
        <v>32</v>
      </c>
      <c r="G9">
        <v>45</v>
      </c>
      <c r="H9" t="str">
        <f t="shared" si="0"/>
        <v>High</v>
      </c>
    </row>
    <row r="10" spans="1:8" x14ac:dyDescent="0.3">
      <c r="A10" t="s">
        <v>34</v>
      </c>
      <c r="B10" s="3">
        <f>VLOOKUP(A10, appointment_data!A:G, 5, FALSE)</f>
        <v>45558</v>
      </c>
      <c r="C10" s="2">
        <f>VLOOKUP(A10, appointment_data!A:G, 6, FALSE)</f>
        <v>0.64583333333333337</v>
      </c>
      <c r="D10" t="s">
        <v>8</v>
      </c>
      <c r="E10">
        <v>7</v>
      </c>
      <c r="F10" t="s">
        <v>32</v>
      </c>
      <c r="G10">
        <v>45</v>
      </c>
      <c r="H10" t="str">
        <f t="shared" si="0"/>
        <v>High</v>
      </c>
    </row>
    <row r="11" spans="1:8" x14ac:dyDescent="0.3">
      <c r="A11" t="s">
        <v>36</v>
      </c>
      <c r="B11" s="3">
        <f>VLOOKUP(A11, appointment_data!A:G, 5, FALSE)</f>
        <v>45395</v>
      </c>
      <c r="C11" s="2">
        <f>VLOOKUP(A11, appointment_data!A:G, 6, FALSE)</f>
        <v>0.5625</v>
      </c>
      <c r="D11" t="s">
        <v>12</v>
      </c>
      <c r="E11">
        <v>4</v>
      </c>
      <c r="F11" t="s">
        <v>9</v>
      </c>
      <c r="G11">
        <v>45</v>
      </c>
      <c r="H11" t="str">
        <f t="shared" si="0"/>
        <v>High</v>
      </c>
    </row>
    <row r="12" spans="1:8" x14ac:dyDescent="0.3">
      <c r="A12" t="s">
        <v>38</v>
      </c>
      <c r="B12" s="3">
        <f>VLOOKUP(A12, appointment_data!A:G, 5, FALSE)</f>
        <v>45460</v>
      </c>
      <c r="C12" s="2">
        <f>VLOOKUP(A12, appointment_data!A:G, 6, FALSE)</f>
        <v>0.35416666666666669</v>
      </c>
      <c r="D12" t="s">
        <v>12</v>
      </c>
      <c r="E12">
        <v>4</v>
      </c>
      <c r="F12" t="s">
        <v>39</v>
      </c>
      <c r="G12">
        <v>45</v>
      </c>
      <c r="H12" t="str">
        <f t="shared" si="0"/>
        <v>High</v>
      </c>
    </row>
    <row r="13" spans="1:8" x14ac:dyDescent="0.3">
      <c r="A13" t="s">
        <v>41</v>
      </c>
      <c r="B13" s="3">
        <f>VLOOKUP(A13, appointment_data!A:G, 5, FALSE)</f>
        <v>45519</v>
      </c>
      <c r="C13" s="2">
        <f>VLOOKUP(A13, appointment_data!A:G, 6, FALSE)</f>
        <v>0.64583333333333337</v>
      </c>
      <c r="D13" t="s">
        <v>12</v>
      </c>
      <c r="E13">
        <v>3</v>
      </c>
      <c r="F13" t="s">
        <v>42</v>
      </c>
      <c r="G13">
        <v>45</v>
      </c>
      <c r="H13" t="str">
        <f t="shared" si="0"/>
        <v>Low</v>
      </c>
    </row>
    <row r="14" spans="1:8" x14ac:dyDescent="0.3">
      <c r="A14" t="s">
        <v>44</v>
      </c>
      <c r="B14" s="3">
        <f>VLOOKUP(A14, appointment_data!A:G, 5, FALSE)</f>
        <v>45305</v>
      </c>
      <c r="C14" s="2" t="str">
        <f>VLOOKUP(A14, appointment_data!A:G, 6, FALSE)</f>
        <v>N/A</v>
      </c>
      <c r="D14" t="s">
        <v>23</v>
      </c>
      <c r="E14">
        <v>7</v>
      </c>
      <c r="F14" t="s">
        <v>32</v>
      </c>
      <c r="G14">
        <v>45</v>
      </c>
      <c r="H14" t="str">
        <f t="shared" si="0"/>
        <v>High</v>
      </c>
    </row>
    <row r="15" spans="1:8" x14ac:dyDescent="0.3">
      <c r="A15" t="s">
        <v>46</v>
      </c>
      <c r="B15" s="3">
        <f>VLOOKUP(A15, appointment_data!A:G, 5, FALSE)</f>
        <v>45344</v>
      </c>
      <c r="C15" s="2">
        <f>VLOOKUP(A15, appointment_data!A:G, 6, FALSE)</f>
        <v>0.33333333333333331</v>
      </c>
      <c r="D15" t="s">
        <v>8</v>
      </c>
      <c r="E15">
        <v>3</v>
      </c>
      <c r="F15" t="s">
        <v>42</v>
      </c>
      <c r="G15">
        <v>45</v>
      </c>
      <c r="H15" t="str">
        <f t="shared" si="0"/>
        <v>Low</v>
      </c>
    </row>
    <row r="16" spans="1:8" x14ac:dyDescent="0.3">
      <c r="A16" t="s">
        <v>48</v>
      </c>
      <c r="B16" s="3">
        <f>VLOOKUP(A16, appointment_data!A:G, 5, FALSE)</f>
        <v>45311</v>
      </c>
      <c r="C16" s="2">
        <f>VLOOKUP(A16, appointment_data!A:G, 6, FALSE)</f>
        <v>0.75</v>
      </c>
      <c r="D16" t="s">
        <v>12</v>
      </c>
      <c r="E16">
        <v>3</v>
      </c>
      <c r="F16" t="s">
        <v>42</v>
      </c>
      <c r="G16">
        <v>45</v>
      </c>
      <c r="H16" t="str">
        <f t="shared" si="0"/>
        <v>Low</v>
      </c>
    </row>
    <row r="17" spans="1:8" x14ac:dyDescent="0.3">
      <c r="A17" t="s">
        <v>50</v>
      </c>
      <c r="B17" s="3">
        <f>VLOOKUP(A17, appointment_data!A:G, 5, FALSE)</f>
        <v>45589</v>
      </c>
      <c r="C17" s="2">
        <f>VLOOKUP(A17, appointment_data!A:G, 6, FALSE)</f>
        <v>0.625</v>
      </c>
      <c r="D17" t="s">
        <v>19</v>
      </c>
      <c r="E17">
        <v>6</v>
      </c>
      <c r="F17" t="s">
        <v>51</v>
      </c>
      <c r="G17">
        <v>45</v>
      </c>
      <c r="H17" t="str">
        <f t="shared" si="0"/>
        <v>High</v>
      </c>
    </row>
    <row r="18" spans="1:8" x14ac:dyDescent="0.3">
      <c r="A18" t="s">
        <v>53</v>
      </c>
      <c r="B18" s="3">
        <f>VLOOKUP(A18, appointment_data!A:G, 5, FALSE)</f>
        <v>45615</v>
      </c>
      <c r="C18" s="2">
        <f>VLOOKUP(A18, appointment_data!A:G, 6, FALSE)</f>
        <v>0.60416666666666663</v>
      </c>
      <c r="D18" t="s">
        <v>19</v>
      </c>
      <c r="E18">
        <v>5</v>
      </c>
      <c r="F18" t="s">
        <v>54</v>
      </c>
      <c r="G18">
        <v>45</v>
      </c>
      <c r="H18" t="str">
        <f t="shared" si="0"/>
        <v>High</v>
      </c>
    </row>
    <row r="19" spans="1:8" x14ac:dyDescent="0.3">
      <c r="A19" t="s">
        <v>56</v>
      </c>
      <c r="B19" s="3">
        <f>VLOOKUP(A19, appointment_data!A:G, 5, FALSE)</f>
        <v>45521</v>
      </c>
      <c r="C19" s="2">
        <f>VLOOKUP(A19, appointment_data!A:G, 6, FALSE)</f>
        <v>0.66666666666666663</v>
      </c>
      <c r="D19" t="s">
        <v>864</v>
      </c>
      <c r="E19">
        <v>6.2849740929999998</v>
      </c>
      <c r="F19" t="s">
        <v>57</v>
      </c>
      <c r="G19">
        <v>41.479591839999998</v>
      </c>
      <c r="H19" t="str">
        <f t="shared" si="0"/>
        <v>High</v>
      </c>
    </row>
    <row r="20" spans="1:8" x14ac:dyDescent="0.3">
      <c r="A20" t="s">
        <v>59</v>
      </c>
      <c r="B20" s="3">
        <f>VLOOKUP(A20, appointment_data!A:G, 5, FALSE)</f>
        <v>45476</v>
      </c>
      <c r="C20" s="2">
        <f>VLOOKUP(A20, appointment_data!A:G, 6, FALSE)</f>
        <v>0.75</v>
      </c>
      <c r="D20" t="s">
        <v>19</v>
      </c>
      <c r="E20">
        <v>8</v>
      </c>
      <c r="F20" t="s">
        <v>60</v>
      </c>
      <c r="G20">
        <v>45</v>
      </c>
      <c r="H20" t="str">
        <f t="shared" si="0"/>
        <v>High</v>
      </c>
    </row>
    <row r="21" spans="1:8" x14ac:dyDescent="0.3">
      <c r="A21" t="s">
        <v>62</v>
      </c>
      <c r="B21" s="3">
        <f>VLOOKUP(A21, appointment_data!A:G, 5, FALSE)</f>
        <v>45652</v>
      </c>
      <c r="C21" s="2">
        <f>VLOOKUP(A21, appointment_data!A:G, 6, FALSE)</f>
        <v>0.52083333333333337</v>
      </c>
      <c r="D21" t="s">
        <v>8</v>
      </c>
      <c r="E21">
        <v>8</v>
      </c>
      <c r="F21" t="s">
        <v>24</v>
      </c>
      <c r="G21">
        <v>45</v>
      </c>
      <c r="H21" t="str">
        <f t="shared" si="0"/>
        <v>High</v>
      </c>
    </row>
    <row r="22" spans="1:8" x14ac:dyDescent="0.3">
      <c r="A22" t="s">
        <v>64</v>
      </c>
      <c r="B22" s="3">
        <f>VLOOKUP(A22, appointment_data!A:G, 5, FALSE)</f>
        <v>45640</v>
      </c>
      <c r="C22" s="2">
        <f>VLOOKUP(A22, appointment_data!A:G, 6, FALSE)</f>
        <v>0.54166666666666663</v>
      </c>
      <c r="D22" t="s">
        <v>65</v>
      </c>
      <c r="E22">
        <v>3</v>
      </c>
      <c r="F22" t="s">
        <v>13</v>
      </c>
      <c r="G22">
        <v>45</v>
      </c>
      <c r="H22" t="str">
        <f t="shared" si="0"/>
        <v>Low</v>
      </c>
    </row>
    <row r="23" spans="1:8" x14ac:dyDescent="0.3">
      <c r="A23" t="s">
        <v>67</v>
      </c>
      <c r="B23" s="3">
        <f>VLOOKUP(A23, appointment_data!A:G, 5, FALSE)</f>
        <v>45635</v>
      </c>
      <c r="C23" s="2">
        <f>VLOOKUP(A23, appointment_data!A:G, 6, FALSE)</f>
        <v>0.39583333333333331</v>
      </c>
      <c r="D23" t="s">
        <v>23</v>
      </c>
      <c r="E23">
        <v>4</v>
      </c>
      <c r="F23" t="s">
        <v>9</v>
      </c>
      <c r="G23">
        <v>45</v>
      </c>
      <c r="H23" t="str">
        <f t="shared" si="0"/>
        <v>High</v>
      </c>
    </row>
    <row r="24" spans="1:8" x14ac:dyDescent="0.3">
      <c r="A24" t="s">
        <v>69</v>
      </c>
      <c r="B24" s="3">
        <f>VLOOKUP(A24, appointment_data!A:G, 5, FALSE)</f>
        <v>45644</v>
      </c>
      <c r="C24" s="2">
        <f>VLOOKUP(A24, appointment_data!A:G, 6, FALSE)</f>
        <v>0.41666666666666669</v>
      </c>
      <c r="D24" t="s">
        <v>70</v>
      </c>
      <c r="E24">
        <v>7</v>
      </c>
      <c r="F24" t="s">
        <v>32</v>
      </c>
      <c r="G24">
        <v>45</v>
      </c>
      <c r="H24" t="str">
        <f t="shared" si="0"/>
        <v>High</v>
      </c>
    </row>
    <row r="25" spans="1:8" x14ac:dyDescent="0.3">
      <c r="A25" t="s">
        <v>72</v>
      </c>
      <c r="B25" s="3">
        <f>VLOOKUP(A25, appointment_data!A:G, 5, FALSE)</f>
        <v>45641</v>
      </c>
      <c r="C25" s="2">
        <f>VLOOKUP(A25, appointment_data!A:G, 6, FALSE)</f>
        <v>0.75</v>
      </c>
      <c r="D25" t="s">
        <v>70</v>
      </c>
      <c r="E25">
        <v>4</v>
      </c>
      <c r="F25" t="s">
        <v>9</v>
      </c>
      <c r="G25">
        <v>45</v>
      </c>
      <c r="H25" t="str">
        <f t="shared" si="0"/>
        <v>High</v>
      </c>
    </row>
    <row r="26" spans="1:8" x14ac:dyDescent="0.3">
      <c r="A26" t="s">
        <v>74</v>
      </c>
      <c r="B26" s="3" t="str">
        <f>VLOOKUP(A26, appointment_data!A:G, 5, FALSE)</f>
        <v>N/A</v>
      </c>
      <c r="C26" s="2">
        <f>VLOOKUP(A26, appointment_data!A:G, 6, FALSE)</f>
        <v>0.54166666666666663</v>
      </c>
      <c r="D26" t="s">
        <v>70</v>
      </c>
      <c r="E26">
        <v>9</v>
      </c>
      <c r="F26" t="s">
        <v>75</v>
      </c>
      <c r="G26">
        <v>30</v>
      </c>
      <c r="H26" t="str">
        <f t="shared" si="0"/>
        <v>High</v>
      </c>
    </row>
    <row r="27" spans="1:8" x14ac:dyDescent="0.3">
      <c r="A27" t="s">
        <v>77</v>
      </c>
      <c r="B27" s="3">
        <f>VLOOKUP(A27, appointment_data!A:G, 5, FALSE)</f>
        <v>45558</v>
      </c>
      <c r="C27" s="2">
        <f>VLOOKUP(A27, appointment_data!A:G, 6, FALSE)</f>
        <v>0.75</v>
      </c>
      <c r="D27" t="s">
        <v>23</v>
      </c>
      <c r="E27">
        <v>4</v>
      </c>
      <c r="F27" t="s">
        <v>9</v>
      </c>
      <c r="G27">
        <v>45</v>
      </c>
      <c r="H27" t="str">
        <f t="shared" si="0"/>
        <v>High</v>
      </c>
    </row>
    <row r="28" spans="1:8" x14ac:dyDescent="0.3">
      <c r="A28" t="s">
        <v>79</v>
      </c>
      <c r="B28" s="3">
        <f>VLOOKUP(A28, appointment_data!A:G, 5, FALSE)</f>
        <v>45486</v>
      </c>
      <c r="C28" s="2">
        <f>VLOOKUP(A28, appointment_data!A:G, 6, FALSE)</f>
        <v>0.77083333333333337</v>
      </c>
      <c r="D28" t="s">
        <v>12</v>
      </c>
      <c r="E28">
        <v>7</v>
      </c>
      <c r="F28" t="s">
        <v>32</v>
      </c>
      <c r="G28">
        <v>45</v>
      </c>
      <c r="H28" t="str">
        <f t="shared" si="0"/>
        <v>High</v>
      </c>
    </row>
    <row r="29" spans="1:8" x14ac:dyDescent="0.3">
      <c r="A29" t="s">
        <v>81</v>
      </c>
      <c r="B29" s="3">
        <f>VLOOKUP(A29, appointment_data!A:G, 5, FALSE)</f>
        <v>45322</v>
      </c>
      <c r="C29" s="2">
        <f>VLOOKUP(A29, appointment_data!A:G, 6, FALSE)</f>
        <v>0.75</v>
      </c>
      <c r="D29" t="s">
        <v>23</v>
      </c>
      <c r="E29">
        <v>7</v>
      </c>
      <c r="F29" t="s">
        <v>27</v>
      </c>
      <c r="G29">
        <v>45</v>
      </c>
      <c r="H29" t="str">
        <f t="shared" si="0"/>
        <v>High</v>
      </c>
    </row>
    <row r="30" spans="1:8" x14ac:dyDescent="0.3">
      <c r="A30" t="s">
        <v>83</v>
      </c>
      <c r="B30" s="3">
        <f>VLOOKUP(A30, appointment_data!A:G, 5, FALSE)</f>
        <v>45520</v>
      </c>
      <c r="C30" s="2">
        <f>VLOOKUP(A30, appointment_data!A:G, 6, FALSE)</f>
        <v>0.66666666666666663</v>
      </c>
      <c r="D30" t="s">
        <v>23</v>
      </c>
      <c r="E30">
        <v>3</v>
      </c>
      <c r="F30" t="s">
        <v>13</v>
      </c>
      <c r="G30">
        <v>45</v>
      </c>
      <c r="H30" t="str">
        <f t="shared" si="0"/>
        <v>Low</v>
      </c>
    </row>
    <row r="31" spans="1:8" x14ac:dyDescent="0.3">
      <c r="A31" t="s">
        <v>85</v>
      </c>
      <c r="B31" s="3">
        <f>VLOOKUP(A31, appointment_data!A:G, 5, FALSE)</f>
        <v>45622</v>
      </c>
      <c r="C31" s="2">
        <f>VLOOKUP(A31, appointment_data!A:G, 6, FALSE)</f>
        <v>0.41666666666666669</v>
      </c>
      <c r="D31" t="s">
        <v>19</v>
      </c>
      <c r="E31">
        <v>9</v>
      </c>
      <c r="F31" t="s">
        <v>16</v>
      </c>
      <c r="G31">
        <v>30</v>
      </c>
      <c r="H31" t="str">
        <f t="shared" si="0"/>
        <v>High</v>
      </c>
    </row>
    <row r="32" spans="1:8" x14ac:dyDescent="0.3">
      <c r="A32" t="s">
        <v>87</v>
      </c>
      <c r="B32" s="3">
        <f>VLOOKUP(A32, appointment_data!A:G, 5, FALSE)</f>
        <v>45642</v>
      </c>
      <c r="C32" s="2">
        <f>VLOOKUP(A32, appointment_data!A:G, 6, FALSE)</f>
        <v>0.35416666666666669</v>
      </c>
      <c r="D32" t="s">
        <v>70</v>
      </c>
      <c r="E32">
        <v>4</v>
      </c>
      <c r="F32" t="s">
        <v>39</v>
      </c>
      <c r="G32">
        <v>45</v>
      </c>
      <c r="H32" t="str">
        <f t="shared" si="0"/>
        <v>High</v>
      </c>
    </row>
    <row r="33" spans="1:8" x14ac:dyDescent="0.3">
      <c r="A33" t="s">
        <v>89</v>
      </c>
      <c r="B33" s="3">
        <f>VLOOKUP(A33, appointment_data!A:G, 5, FALSE)</f>
        <v>45384</v>
      </c>
      <c r="C33" s="2">
        <f>VLOOKUP(A33, appointment_data!A:G, 6, FALSE)</f>
        <v>0.72916666666666663</v>
      </c>
      <c r="D33" t="s">
        <v>12</v>
      </c>
      <c r="E33">
        <v>3</v>
      </c>
      <c r="F33" t="s">
        <v>13</v>
      </c>
      <c r="G33">
        <v>45</v>
      </c>
      <c r="H33" t="str">
        <f t="shared" si="0"/>
        <v>Low</v>
      </c>
    </row>
    <row r="34" spans="1:8" x14ac:dyDescent="0.3">
      <c r="A34" t="s">
        <v>91</v>
      </c>
      <c r="B34" s="3">
        <f>VLOOKUP(A34, appointment_data!A:G, 5, FALSE)</f>
        <v>45446</v>
      </c>
      <c r="C34" s="2">
        <f>VLOOKUP(A34, appointment_data!A:G, 6, FALSE)</f>
        <v>0.64583333333333337</v>
      </c>
      <c r="D34" t="s">
        <v>65</v>
      </c>
      <c r="E34">
        <v>5</v>
      </c>
      <c r="F34" t="s">
        <v>54</v>
      </c>
      <c r="G34">
        <v>45</v>
      </c>
      <c r="H34" t="str">
        <f t="shared" si="0"/>
        <v>High</v>
      </c>
    </row>
    <row r="35" spans="1:8" x14ac:dyDescent="0.3">
      <c r="A35" t="s">
        <v>93</v>
      </c>
      <c r="B35" s="3">
        <f>VLOOKUP(A35, appointment_data!A:G, 5, FALSE)</f>
        <v>45383</v>
      </c>
      <c r="C35" s="2">
        <f>VLOOKUP(A35, appointment_data!A:G, 6, FALSE)</f>
        <v>0.41666666666666669</v>
      </c>
      <c r="D35" t="s">
        <v>19</v>
      </c>
      <c r="E35">
        <v>9</v>
      </c>
      <c r="F35" t="s">
        <v>75</v>
      </c>
      <c r="G35">
        <v>30</v>
      </c>
      <c r="H35" t="str">
        <f t="shared" si="0"/>
        <v>High</v>
      </c>
    </row>
    <row r="36" spans="1:8" x14ac:dyDescent="0.3">
      <c r="A36" t="s">
        <v>95</v>
      </c>
      <c r="B36" s="3">
        <f>VLOOKUP(A36, appointment_data!A:G, 5, FALSE)</f>
        <v>45646</v>
      </c>
      <c r="C36" s="2">
        <f>VLOOKUP(A36, appointment_data!A:G, 6, FALSE)</f>
        <v>0.5625</v>
      </c>
      <c r="D36" t="s">
        <v>65</v>
      </c>
      <c r="E36">
        <v>6</v>
      </c>
      <c r="F36" t="s">
        <v>51</v>
      </c>
      <c r="G36">
        <v>45</v>
      </c>
      <c r="H36" t="str">
        <f t="shared" si="0"/>
        <v>High</v>
      </c>
    </row>
    <row r="37" spans="1:8" x14ac:dyDescent="0.3">
      <c r="A37" t="s">
        <v>97</v>
      </c>
      <c r="B37" s="3">
        <f>VLOOKUP(A37, appointment_data!A:G, 5, FALSE)</f>
        <v>45647</v>
      </c>
      <c r="C37" s="2">
        <f>VLOOKUP(A37, appointment_data!A:G, 6, FALSE)</f>
        <v>0.6875</v>
      </c>
      <c r="D37" t="s">
        <v>12</v>
      </c>
      <c r="E37">
        <v>9</v>
      </c>
      <c r="F37" t="s">
        <v>20</v>
      </c>
      <c r="G37">
        <v>30</v>
      </c>
      <c r="H37" t="str">
        <f t="shared" si="0"/>
        <v>High</v>
      </c>
    </row>
    <row r="38" spans="1:8" x14ac:dyDescent="0.3">
      <c r="A38" t="s">
        <v>99</v>
      </c>
      <c r="B38" s="3">
        <f>VLOOKUP(A38, appointment_data!A:G, 5, FALSE)</f>
        <v>45416</v>
      </c>
      <c r="C38" s="2">
        <f>VLOOKUP(A38, appointment_data!A:G, 6, FALSE)</f>
        <v>0.6875</v>
      </c>
      <c r="D38" t="s">
        <v>70</v>
      </c>
      <c r="E38">
        <v>7</v>
      </c>
      <c r="F38" t="s">
        <v>57</v>
      </c>
      <c r="G38">
        <v>45</v>
      </c>
      <c r="H38" t="str">
        <f t="shared" si="0"/>
        <v>High</v>
      </c>
    </row>
    <row r="39" spans="1:8" x14ac:dyDescent="0.3">
      <c r="A39" t="s">
        <v>101</v>
      </c>
      <c r="B39" s="3">
        <f>VLOOKUP(A39, appointment_data!A:G, 5, FALSE)</f>
        <v>45387</v>
      </c>
      <c r="C39" s="2">
        <f>VLOOKUP(A39, appointment_data!A:G, 6, FALSE)</f>
        <v>0.35416666666666669</v>
      </c>
      <c r="D39" t="s">
        <v>70</v>
      </c>
      <c r="E39">
        <v>3</v>
      </c>
      <c r="F39" t="s">
        <v>42</v>
      </c>
      <c r="G39">
        <v>45</v>
      </c>
      <c r="H39" t="str">
        <f t="shared" si="0"/>
        <v>Low</v>
      </c>
    </row>
    <row r="40" spans="1:8" x14ac:dyDescent="0.3">
      <c r="A40" t="s">
        <v>103</v>
      </c>
      <c r="B40" s="3">
        <f>VLOOKUP(A40, appointment_data!A:G, 5, FALSE)</f>
        <v>45372</v>
      </c>
      <c r="C40" s="2">
        <f>VLOOKUP(A40, appointment_data!A:G, 6, FALSE)</f>
        <v>0.54166666666666663</v>
      </c>
      <c r="D40" t="s">
        <v>70</v>
      </c>
      <c r="E40">
        <v>5</v>
      </c>
      <c r="F40" t="s">
        <v>54</v>
      </c>
      <c r="G40">
        <v>45</v>
      </c>
      <c r="H40" t="str">
        <f t="shared" si="0"/>
        <v>High</v>
      </c>
    </row>
    <row r="41" spans="1:8" x14ac:dyDescent="0.3">
      <c r="A41" t="s">
        <v>105</v>
      </c>
      <c r="B41" s="3">
        <f>VLOOKUP(A41, appointment_data!A:G, 5, FALSE)</f>
        <v>45605</v>
      </c>
      <c r="C41" s="2">
        <f>VLOOKUP(A41, appointment_data!A:G, 6, FALSE)</f>
        <v>0.5625</v>
      </c>
      <c r="D41" t="s">
        <v>23</v>
      </c>
      <c r="E41">
        <v>9</v>
      </c>
      <c r="F41" t="s">
        <v>106</v>
      </c>
      <c r="G41">
        <v>30</v>
      </c>
      <c r="H41" t="str">
        <f t="shared" si="0"/>
        <v>High</v>
      </c>
    </row>
    <row r="42" spans="1:8" x14ac:dyDescent="0.3">
      <c r="A42" t="s">
        <v>108</v>
      </c>
      <c r="B42" s="3">
        <f>VLOOKUP(A42, appointment_data!A:G, 5, FALSE)</f>
        <v>45378</v>
      </c>
      <c r="C42" s="2">
        <f>VLOOKUP(A42, appointment_data!A:G, 6, FALSE)</f>
        <v>0.70833333333333337</v>
      </c>
      <c r="D42" t="s">
        <v>23</v>
      </c>
      <c r="E42">
        <v>9</v>
      </c>
      <c r="F42" t="s">
        <v>20</v>
      </c>
      <c r="G42">
        <v>30</v>
      </c>
      <c r="H42" t="str">
        <f t="shared" si="0"/>
        <v>High</v>
      </c>
    </row>
    <row r="43" spans="1:8" x14ac:dyDescent="0.3">
      <c r="A43" t="s">
        <v>110</v>
      </c>
      <c r="B43" s="3">
        <f>VLOOKUP(A43, appointment_data!A:G, 5, FALSE)</f>
        <v>45506</v>
      </c>
      <c r="C43" s="2">
        <f>VLOOKUP(A43, appointment_data!A:G, 6, FALSE)</f>
        <v>0.52083333333333337</v>
      </c>
      <c r="D43" t="s">
        <v>19</v>
      </c>
      <c r="E43">
        <v>7</v>
      </c>
      <c r="F43" t="s">
        <v>57</v>
      </c>
      <c r="G43">
        <v>45</v>
      </c>
      <c r="H43" t="str">
        <f t="shared" si="0"/>
        <v>High</v>
      </c>
    </row>
    <row r="44" spans="1:8" x14ac:dyDescent="0.3">
      <c r="A44" t="s">
        <v>112</v>
      </c>
      <c r="B44" s="3">
        <f>VLOOKUP(A44, appointment_data!A:G, 5, FALSE)</f>
        <v>45507</v>
      </c>
      <c r="C44" s="2">
        <f>VLOOKUP(A44, appointment_data!A:G, 6, FALSE)</f>
        <v>0.77083333333333337</v>
      </c>
      <c r="D44" t="s">
        <v>19</v>
      </c>
      <c r="E44">
        <v>4</v>
      </c>
      <c r="F44" t="s">
        <v>9</v>
      </c>
      <c r="G44">
        <v>45</v>
      </c>
      <c r="H44" t="str">
        <f t="shared" si="0"/>
        <v>High</v>
      </c>
    </row>
    <row r="45" spans="1:8" x14ac:dyDescent="0.3">
      <c r="A45" t="s">
        <v>114</v>
      </c>
      <c r="B45" s="3">
        <f>VLOOKUP(A45, appointment_data!A:G, 5, FALSE)</f>
        <v>45585</v>
      </c>
      <c r="C45" s="2">
        <f>VLOOKUP(A45, appointment_data!A:G, 6, FALSE)</f>
        <v>0.39583333333333331</v>
      </c>
      <c r="D45" t="s">
        <v>8</v>
      </c>
      <c r="E45">
        <v>5</v>
      </c>
      <c r="F45" t="s">
        <v>54</v>
      </c>
      <c r="G45">
        <v>45</v>
      </c>
      <c r="H45" t="str">
        <f t="shared" si="0"/>
        <v>High</v>
      </c>
    </row>
    <row r="46" spans="1:8" x14ac:dyDescent="0.3">
      <c r="A46" t="s">
        <v>116</v>
      </c>
      <c r="B46" s="3">
        <f>VLOOKUP(A46, appointment_data!A:G, 5, FALSE)</f>
        <v>45313</v>
      </c>
      <c r="C46" s="2">
        <f>VLOOKUP(A46, appointment_data!A:G, 6, FALSE)</f>
        <v>0.66666666666666663</v>
      </c>
      <c r="D46" t="s">
        <v>12</v>
      </c>
      <c r="E46">
        <v>9</v>
      </c>
      <c r="F46" t="s">
        <v>75</v>
      </c>
      <c r="G46">
        <v>30</v>
      </c>
      <c r="H46" t="str">
        <f t="shared" si="0"/>
        <v>High</v>
      </c>
    </row>
    <row r="47" spans="1:8" x14ac:dyDescent="0.3">
      <c r="A47" t="s">
        <v>118</v>
      </c>
      <c r="B47" s="3">
        <f>VLOOKUP(A47, appointment_data!A:G, 5, FALSE)</f>
        <v>45347</v>
      </c>
      <c r="C47" s="2">
        <f>VLOOKUP(A47, appointment_data!A:G, 6, FALSE)</f>
        <v>0.39583333333333331</v>
      </c>
      <c r="D47" t="s">
        <v>12</v>
      </c>
      <c r="E47">
        <v>7</v>
      </c>
      <c r="F47" t="s">
        <v>32</v>
      </c>
      <c r="G47">
        <v>45</v>
      </c>
      <c r="H47" t="str">
        <f t="shared" si="0"/>
        <v>High</v>
      </c>
    </row>
    <row r="48" spans="1:8" x14ac:dyDescent="0.3">
      <c r="A48" t="s">
        <v>120</v>
      </c>
      <c r="B48" s="3">
        <f>VLOOKUP(A48, appointment_data!A:G, 5, FALSE)</f>
        <v>45466</v>
      </c>
      <c r="C48" s="2">
        <f>VLOOKUP(A48, appointment_data!A:G, 6, FALSE)</f>
        <v>0.41666666666666669</v>
      </c>
      <c r="D48" t="s">
        <v>19</v>
      </c>
      <c r="E48">
        <v>5</v>
      </c>
      <c r="F48" t="s">
        <v>54</v>
      </c>
      <c r="G48">
        <v>45</v>
      </c>
      <c r="H48" t="str">
        <f t="shared" si="0"/>
        <v>High</v>
      </c>
    </row>
    <row r="49" spans="1:8" x14ac:dyDescent="0.3">
      <c r="A49" t="s">
        <v>122</v>
      </c>
      <c r="B49" s="3">
        <f>VLOOKUP(A49, appointment_data!A:G, 5, FALSE)</f>
        <v>45350</v>
      </c>
      <c r="C49" s="2">
        <f>VLOOKUP(A49, appointment_data!A:G, 6, FALSE)</f>
        <v>0.77083333333333337</v>
      </c>
      <c r="D49" t="s">
        <v>864</v>
      </c>
      <c r="E49">
        <v>6.2849740929999998</v>
      </c>
      <c r="F49" t="s">
        <v>60</v>
      </c>
      <c r="G49">
        <v>45</v>
      </c>
      <c r="H49" t="str">
        <f t="shared" si="0"/>
        <v>High</v>
      </c>
    </row>
    <row r="50" spans="1:8" x14ac:dyDescent="0.3">
      <c r="A50" t="s">
        <v>124</v>
      </c>
      <c r="B50" s="3">
        <f>VLOOKUP(A50, appointment_data!A:G, 5, FALSE)</f>
        <v>45590</v>
      </c>
      <c r="C50" s="2">
        <f>VLOOKUP(A50, appointment_data!A:G, 6, FALSE)</f>
        <v>0.75</v>
      </c>
      <c r="D50" t="s">
        <v>19</v>
      </c>
      <c r="E50">
        <v>7</v>
      </c>
      <c r="F50" t="s">
        <v>32</v>
      </c>
      <c r="G50">
        <v>45</v>
      </c>
      <c r="H50" t="str">
        <f t="shared" si="0"/>
        <v>High</v>
      </c>
    </row>
    <row r="51" spans="1:8" x14ac:dyDescent="0.3">
      <c r="A51" t="s">
        <v>126</v>
      </c>
      <c r="B51" s="3">
        <f>VLOOKUP(A51, appointment_data!A:G, 5, FALSE)</f>
        <v>45324</v>
      </c>
      <c r="C51" s="2">
        <f>VLOOKUP(A51, appointment_data!A:G, 6, FALSE)</f>
        <v>0.39583333333333331</v>
      </c>
      <c r="D51" t="s">
        <v>23</v>
      </c>
      <c r="E51">
        <v>4</v>
      </c>
      <c r="F51" t="s">
        <v>39</v>
      </c>
      <c r="G51">
        <v>45</v>
      </c>
      <c r="H51" t="str">
        <f t="shared" si="0"/>
        <v>High</v>
      </c>
    </row>
    <row r="52" spans="1:8" x14ac:dyDescent="0.3">
      <c r="A52" t="s">
        <v>128</v>
      </c>
      <c r="B52" s="3">
        <f>VLOOKUP(A52, appointment_data!A:G, 5, FALSE)</f>
        <v>45630</v>
      </c>
      <c r="C52" s="2">
        <f>VLOOKUP(A52, appointment_data!A:G, 6, FALSE)</f>
        <v>0.45833333333333331</v>
      </c>
      <c r="D52" t="s">
        <v>12</v>
      </c>
      <c r="E52">
        <v>3</v>
      </c>
      <c r="F52" t="s">
        <v>13</v>
      </c>
      <c r="G52">
        <v>45</v>
      </c>
      <c r="H52" t="str">
        <f t="shared" si="0"/>
        <v>Low</v>
      </c>
    </row>
    <row r="53" spans="1:8" x14ac:dyDescent="0.3">
      <c r="A53" t="s">
        <v>130</v>
      </c>
      <c r="B53" s="3">
        <f>VLOOKUP(A53, appointment_data!A:G, 5, FALSE)</f>
        <v>45482</v>
      </c>
      <c r="C53" s="2">
        <f>VLOOKUP(A53, appointment_data!A:G, 6, FALSE)</f>
        <v>0.5</v>
      </c>
      <c r="D53" t="s">
        <v>8</v>
      </c>
      <c r="E53">
        <v>9</v>
      </c>
      <c r="F53" t="s">
        <v>16</v>
      </c>
      <c r="G53">
        <v>30</v>
      </c>
      <c r="H53" t="str">
        <f t="shared" si="0"/>
        <v>High</v>
      </c>
    </row>
    <row r="54" spans="1:8" x14ac:dyDescent="0.3">
      <c r="A54" t="s">
        <v>132</v>
      </c>
      <c r="B54" s="3">
        <f>VLOOKUP(A54, appointment_data!A:G, 5, FALSE)</f>
        <v>45370</v>
      </c>
      <c r="C54" s="2">
        <f>VLOOKUP(A54, appointment_data!A:G, 6, FALSE)</f>
        <v>0.75</v>
      </c>
      <c r="D54" t="s">
        <v>8</v>
      </c>
      <c r="E54">
        <v>8</v>
      </c>
      <c r="F54" t="s">
        <v>60</v>
      </c>
      <c r="G54">
        <v>45</v>
      </c>
      <c r="H54" t="str">
        <f t="shared" si="0"/>
        <v>High</v>
      </c>
    </row>
    <row r="55" spans="1:8" x14ac:dyDescent="0.3">
      <c r="A55" t="s">
        <v>134</v>
      </c>
      <c r="B55" s="3">
        <f>VLOOKUP(A55, appointment_data!A:G, 5, FALSE)</f>
        <v>45362</v>
      </c>
      <c r="C55" s="2">
        <f>VLOOKUP(A55, appointment_data!A:G, 6, FALSE)</f>
        <v>0.64583333333333337</v>
      </c>
      <c r="D55" t="s">
        <v>8</v>
      </c>
      <c r="E55">
        <v>9</v>
      </c>
      <c r="F55" t="s">
        <v>20</v>
      </c>
      <c r="G55">
        <v>30</v>
      </c>
      <c r="H55" t="str">
        <f t="shared" si="0"/>
        <v>High</v>
      </c>
    </row>
    <row r="56" spans="1:8" x14ac:dyDescent="0.3">
      <c r="A56" t="s">
        <v>136</v>
      </c>
      <c r="B56" s="3" t="str">
        <f>VLOOKUP(A56, appointment_data!A:G, 5, FALSE)</f>
        <v>N/A</v>
      </c>
      <c r="C56" s="2" t="str">
        <f>VLOOKUP(A56, appointment_data!A:G, 6, FALSE)</f>
        <v>N/A</v>
      </c>
      <c r="D56" t="s">
        <v>19</v>
      </c>
      <c r="E56">
        <v>4</v>
      </c>
      <c r="F56" t="s">
        <v>9</v>
      </c>
      <c r="G56">
        <v>45</v>
      </c>
      <c r="H56" t="str">
        <f t="shared" si="0"/>
        <v>High</v>
      </c>
    </row>
    <row r="57" spans="1:8" x14ac:dyDescent="0.3">
      <c r="A57" t="s">
        <v>138</v>
      </c>
      <c r="B57" s="3">
        <f>VLOOKUP(A57, appointment_data!A:G, 5, FALSE)</f>
        <v>45556</v>
      </c>
      <c r="C57" s="2">
        <f>VLOOKUP(A57, appointment_data!A:G, 6, FALSE)</f>
        <v>0.6875</v>
      </c>
      <c r="D57" t="s">
        <v>65</v>
      </c>
      <c r="E57">
        <v>4</v>
      </c>
      <c r="F57" t="s">
        <v>9</v>
      </c>
      <c r="G57">
        <v>45</v>
      </c>
      <c r="H57" t="str">
        <f t="shared" si="0"/>
        <v>High</v>
      </c>
    </row>
    <row r="58" spans="1:8" x14ac:dyDescent="0.3">
      <c r="A58" t="s">
        <v>140</v>
      </c>
      <c r="B58" s="3">
        <f>VLOOKUP(A58, appointment_data!A:G, 5, FALSE)</f>
        <v>45551</v>
      </c>
      <c r="C58" s="2">
        <f>VLOOKUP(A58, appointment_data!A:G, 6, FALSE)</f>
        <v>0.64583333333333337</v>
      </c>
      <c r="D58" t="s">
        <v>19</v>
      </c>
      <c r="E58">
        <v>3</v>
      </c>
      <c r="F58" t="s">
        <v>42</v>
      </c>
      <c r="G58">
        <v>45</v>
      </c>
      <c r="H58" t="str">
        <f t="shared" si="0"/>
        <v>Low</v>
      </c>
    </row>
    <row r="59" spans="1:8" x14ac:dyDescent="0.3">
      <c r="A59" t="s">
        <v>142</v>
      </c>
      <c r="B59" s="3">
        <f>VLOOKUP(A59, appointment_data!A:G, 5, FALSE)</f>
        <v>45585</v>
      </c>
      <c r="C59" s="2">
        <f>VLOOKUP(A59, appointment_data!A:G, 6, FALSE)</f>
        <v>0.75</v>
      </c>
      <c r="D59" t="s">
        <v>70</v>
      </c>
      <c r="E59">
        <v>3</v>
      </c>
      <c r="F59" t="s">
        <v>13</v>
      </c>
      <c r="G59">
        <v>45</v>
      </c>
      <c r="H59" t="str">
        <f t="shared" si="0"/>
        <v>Low</v>
      </c>
    </row>
    <row r="60" spans="1:8" x14ac:dyDescent="0.3">
      <c r="A60" t="s">
        <v>144</v>
      </c>
      <c r="B60" s="3">
        <f>VLOOKUP(A60, appointment_data!A:G, 5, FALSE)</f>
        <v>45517</v>
      </c>
      <c r="C60" s="2">
        <f>VLOOKUP(A60, appointment_data!A:G, 6, FALSE)</f>
        <v>0.75</v>
      </c>
      <c r="D60" t="s">
        <v>65</v>
      </c>
      <c r="E60">
        <v>9</v>
      </c>
      <c r="F60" t="s">
        <v>106</v>
      </c>
      <c r="G60">
        <v>30</v>
      </c>
      <c r="H60" t="str">
        <f t="shared" si="0"/>
        <v>High</v>
      </c>
    </row>
    <row r="61" spans="1:8" x14ac:dyDescent="0.3">
      <c r="A61" t="s">
        <v>146</v>
      </c>
      <c r="B61" s="3">
        <f>VLOOKUP(A61, appointment_data!A:G, 5, FALSE)</f>
        <v>45623</v>
      </c>
      <c r="C61" s="2">
        <f>VLOOKUP(A61, appointment_data!A:G, 6, FALSE)</f>
        <v>0.375</v>
      </c>
      <c r="D61" t="s">
        <v>19</v>
      </c>
      <c r="E61">
        <v>9</v>
      </c>
      <c r="F61" t="s">
        <v>20</v>
      </c>
      <c r="G61">
        <v>30</v>
      </c>
      <c r="H61" t="str">
        <f t="shared" si="0"/>
        <v>High</v>
      </c>
    </row>
    <row r="62" spans="1:8" x14ac:dyDescent="0.3">
      <c r="A62" t="s">
        <v>148</v>
      </c>
      <c r="B62" s="3">
        <f>VLOOKUP(A62, appointment_data!A:G, 5, FALSE)</f>
        <v>45298</v>
      </c>
      <c r="C62" s="2">
        <f>VLOOKUP(A62, appointment_data!A:G, 6, FALSE)</f>
        <v>0.66666666666666663</v>
      </c>
      <c r="D62" t="s">
        <v>19</v>
      </c>
      <c r="E62">
        <v>6</v>
      </c>
      <c r="F62" t="s">
        <v>51</v>
      </c>
      <c r="G62">
        <v>45</v>
      </c>
      <c r="H62" t="str">
        <f t="shared" si="0"/>
        <v>High</v>
      </c>
    </row>
    <row r="63" spans="1:8" x14ac:dyDescent="0.3">
      <c r="A63" t="s">
        <v>150</v>
      </c>
      <c r="B63" s="3">
        <f>VLOOKUP(A63, appointment_data!A:G, 5, FALSE)</f>
        <v>45350</v>
      </c>
      <c r="C63" s="2">
        <f>VLOOKUP(A63, appointment_data!A:G, 6, FALSE)</f>
        <v>0.47916666666666669</v>
      </c>
      <c r="D63" t="s">
        <v>65</v>
      </c>
      <c r="E63">
        <v>9</v>
      </c>
      <c r="F63" t="s">
        <v>20</v>
      </c>
      <c r="G63">
        <v>30</v>
      </c>
      <c r="H63" t="str">
        <f t="shared" si="0"/>
        <v>High</v>
      </c>
    </row>
    <row r="64" spans="1:8" x14ac:dyDescent="0.3">
      <c r="A64" t="s">
        <v>152</v>
      </c>
      <c r="B64" s="3">
        <f>VLOOKUP(A64, appointment_data!A:G, 5, FALSE)</f>
        <v>45545</v>
      </c>
      <c r="C64" s="2">
        <f>VLOOKUP(A64, appointment_data!A:G, 6, FALSE)</f>
        <v>0.72916666666666663</v>
      </c>
      <c r="D64" t="s">
        <v>8</v>
      </c>
      <c r="E64">
        <v>5</v>
      </c>
      <c r="F64" t="s">
        <v>54</v>
      </c>
      <c r="G64">
        <v>45</v>
      </c>
      <c r="H64" t="str">
        <f t="shared" si="0"/>
        <v>High</v>
      </c>
    </row>
    <row r="65" spans="1:8" x14ac:dyDescent="0.3">
      <c r="A65" t="s">
        <v>154</v>
      </c>
      <c r="B65" s="3">
        <f>VLOOKUP(A65, appointment_data!A:G, 5, FALSE)</f>
        <v>45648</v>
      </c>
      <c r="C65" s="2">
        <f>VLOOKUP(A65, appointment_data!A:G, 6, FALSE)</f>
        <v>0.45833333333333331</v>
      </c>
      <c r="D65" t="s">
        <v>19</v>
      </c>
      <c r="E65">
        <v>7</v>
      </c>
      <c r="F65" t="s">
        <v>27</v>
      </c>
      <c r="G65">
        <v>45</v>
      </c>
      <c r="H65" t="str">
        <f t="shared" si="0"/>
        <v>High</v>
      </c>
    </row>
    <row r="66" spans="1:8" x14ac:dyDescent="0.3">
      <c r="A66" t="s">
        <v>156</v>
      </c>
      <c r="B66" s="3">
        <f>VLOOKUP(A66, appointment_data!A:G, 5, FALSE)</f>
        <v>45307</v>
      </c>
      <c r="C66" s="2">
        <f>VLOOKUP(A66, appointment_data!A:G, 6, FALSE)</f>
        <v>0.77083333333333337</v>
      </c>
      <c r="D66" t="s">
        <v>70</v>
      </c>
      <c r="E66">
        <v>8</v>
      </c>
      <c r="F66" t="s">
        <v>24</v>
      </c>
      <c r="G66">
        <v>45</v>
      </c>
      <c r="H66" t="str">
        <f t="shared" si="0"/>
        <v>High</v>
      </c>
    </row>
    <row r="67" spans="1:8" x14ac:dyDescent="0.3">
      <c r="A67" t="s">
        <v>158</v>
      </c>
      <c r="B67" s="3">
        <f>VLOOKUP(A67, appointment_data!A:G, 5, FALSE)</f>
        <v>45292</v>
      </c>
      <c r="C67" s="2" t="str">
        <f>VLOOKUP(A67, appointment_data!A:G, 6, FALSE)</f>
        <v>N/A</v>
      </c>
      <c r="D67" t="s">
        <v>65</v>
      </c>
      <c r="E67">
        <v>9</v>
      </c>
      <c r="F67" t="s">
        <v>20</v>
      </c>
      <c r="G67">
        <v>30</v>
      </c>
      <c r="H67" t="str">
        <f t="shared" ref="H67:H130" si="1">IF(E67&gt;=4, "High", "Low")</f>
        <v>High</v>
      </c>
    </row>
    <row r="68" spans="1:8" x14ac:dyDescent="0.3">
      <c r="A68" t="s">
        <v>160</v>
      </c>
      <c r="B68" s="3">
        <f>VLOOKUP(A68, appointment_data!A:G, 5, FALSE)</f>
        <v>45617</v>
      </c>
      <c r="C68" s="2">
        <f>VLOOKUP(A68, appointment_data!A:G, 6, FALSE)</f>
        <v>0.6875</v>
      </c>
      <c r="D68" t="s">
        <v>70</v>
      </c>
      <c r="E68">
        <v>3</v>
      </c>
      <c r="F68" t="s">
        <v>42</v>
      </c>
      <c r="G68">
        <v>45</v>
      </c>
      <c r="H68" t="str">
        <f t="shared" si="1"/>
        <v>Low</v>
      </c>
    </row>
    <row r="69" spans="1:8" x14ac:dyDescent="0.3">
      <c r="A69" t="s">
        <v>162</v>
      </c>
      <c r="B69" s="3">
        <f>VLOOKUP(A69, appointment_data!A:G, 5, FALSE)</f>
        <v>45387</v>
      </c>
      <c r="C69" s="2">
        <f>VLOOKUP(A69, appointment_data!A:G, 6, FALSE)</f>
        <v>0.5</v>
      </c>
      <c r="D69" t="s">
        <v>65</v>
      </c>
      <c r="E69">
        <v>8</v>
      </c>
      <c r="F69" t="s">
        <v>60</v>
      </c>
      <c r="G69">
        <v>45</v>
      </c>
      <c r="H69" t="str">
        <f t="shared" si="1"/>
        <v>High</v>
      </c>
    </row>
    <row r="70" spans="1:8" x14ac:dyDescent="0.3">
      <c r="A70" t="s">
        <v>164</v>
      </c>
      <c r="B70" s="3">
        <f>VLOOKUP(A70, appointment_data!A:G, 5, FALSE)</f>
        <v>45485</v>
      </c>
      <c r="C70" s="2">
        <f>VLOOKUP(A70, appointment_data!A:G, 6, FALSE)</f>
        <v>0.70833333333333337</v>
      </c>
      <c r="D70" t="s">
        <v>70</v>
      </c>
      <c r="E70">
        <v>9</v>
      </c>
      <c r="F70" t="s">
        <v>75</v>
      </c>
      <c r="G70">
        <v>30</v>
      </c>
      <c r="H70" t="str">
        <f t="shared" si="1"/>
        <v>High</v>
      </c>
    </row>
    <row r="71" spans="1:8" x14ac:dyDescent="0.3">
      <c r="A71" t="s">
        <v>166</v>
      </c>
      <c r="B71" s="3">
        <f>VLOOKUP(A71, appointment_data!A:G, 5, FALSE)</f>
        <v>45410</v>
      </c>
      <c r="C71" s="2">
        <f>VLOOKUP(A71, appointment_data!A:G, 6, FALSE)</f>
        <v>0.77083333333333337</v>
      </c>
      <c r="D71" t="s">
        <v>8</v>
      </c>
      <c r="E71">
        <v>9</v>
      </c>
      <c r="F71" t="s">
        <v>20</v>
      </c>
      <c r="G71">
        <v>30</v>
      </c>
      <c r="H71" t="str">
        <f t="shared" si="1"/>
        <v>High</v>
      </c>
    </row>
    <row r="72" spans="1:8" x14ac:dyDescent="0.3">
      <c r="A72" t="s">
        <v>168</v>
      </c>
      <c r="B72" s="3">
        <f>VLOOKUP(A72, appointment_data!A:G, 5, FALSE)</f>
        <v>45457</v>
      </c>
      <c r="C72" s="2">
        <f>VLOOKUP(A72, appointment_data!A:G, 6, FALSE)</f>
        <v>0.33333333333333331</v>
      </c>
      <c r="D72" t="s">
        <v>19</v>
      </c>
      <c r="E72">
        <v>9</v>
      </c>
      <c r="F72" t="s">
        <v>106</v>
      </c>
      <c r="G72">
        <v>30</v>
      </c>
      <c r="H72" t="str">
        <f t="shared" si="1"/>
        <v>High</v>
      </c>
    </row>
    <row r="73" spans="1:8" x14ac:dyDescent="0.3">
      <c r="A73" t="s">
        <v>170</v>
      </c>
      <c r="B73" s="3">
        <f>VLOOKUP(A73, appointment_data!A:G, 5, FALSE)</f>
        <v>45407</v>
      </c>
      <c r="C73" s="2">
        <f>VLOOKUP(A73, appointment_data!A:G, 6, FALSE)</f>
        <v>0.75</v>
      </c>
      <c r="D73" t="s">
        <v>12</v>
      </c>
      <c r="E73">
        <v>8</v>
      </c>
      <c r="F73" t="s">
        <v>60</v>
      </c>
      <c r="G73">
        <v>45</v>
      </c>
      <c r="H73" t="str">
        <f t="shared" si="1"/>
        <v>High</v>
      </c>
    </row>
    <row r="74" spans="1:8" x14ac:dyDescent="0.3">
      <c r="A74" t="s">
        <v>172</v>
      </c>
      <c r="B74" s="3">
        <f>VLOOKUP(A74, appointment_data!A:G, 5, FALSE)</f>
        <v>45416</v>
      </c>
      <c r="C74" s="2">
        <f>VLOOKUP(A74, appointment_data!A:G, 6, FALSE)</f>
        <v>0.47916666666666669</v>
      </c>
      <c r="D74" t="s">
        <v>19</v>
      </c>
      <c r="E74">
        <v>8</v>
      </c>
      <c r="F74" t="s">
        <v>60</v>
      </c>
      <c r="G74">
        <v>45</v>
      </c>
      <c r="H74" t="str">
        <f t="shared" si="1"/>
        <v>High</v>
      </c>
    </row>
    <row r="75" spans="1:8" x14ac:dyDescent="0.3">
      <c r="A75" t="s">
        <v>174</v>
      </c>
      <c r="B75" s="3">
        <f>VLOOKUP(A75, appointment_data!A:G, 5, FALSE)</f>
        <v>45493</v>
      </c>
      <c r="C75" s="2">
        <f>VLOOKUP(A75, appointment_data!A:G, 6, FALSE)</f>
        <v>0.77083333333333337</v>
      </c>
      <c r="D75" t="s">
        <v>23</v>
      </c>
      <c r="E75">
        <v>9</v>
      </c>
      <c r="F75" t="s">
        <v>16</v>
      </c>
      <c r="G75">
        <v>30</v>
      </c>
      <c r="H75" t="str">
        <f t="shared" si="1"/>
        <v>High</v>
      </c>
    </row>
    <row r="76" spans="1:8" x14ac:dyDescent="0.3">
      <c r="A76" t="s">
        <v>176</v>
      </c>
      <c r="B76" s="3">
        <f>VLOOKUP(A76, appointment_data!A:G, 5, FALSE)</f>
        <v>45392</v>
      </c>
      <c r="C76" s="2">
        <f>VLOOKUP(A76, appointment_data!A:G, 6, FALSE)</f>
        <v>0.33333333333333331</v>
      </c>
      <c r="D76" t="s">
        <v>8</v>
      </c>
      <c r="E76">
        <v>8</v>
      </c>
      <c r="F76" t="s">
        <v>60</v>
      </c>
      <c r="G76">
        <v>45</v>
      </c>
      <c r="H76" t="str">
        <f t="shared" si="1"/>
        <v>High</v>
      </c>
    </row>
    <row r="77" spans="1:8" x14ac:dyDescent="0.3">
      <c r="A77" t="s">
        <v>178</v>
      </c>
      <c r="B77" s="3">
        <f>VLOOKUP(A77, appointment_data!A:G, 5, FALSE)</f>
        <v>45382</v>
      </c>
      <c r="C77" s="2">
        <f>VLOOKUP(A77, appointment_data!A:G, 6, FALSE)</f>
        <v>0.375</v>
      </c>
      <c r="D77" t="s">
        <v>65</v>
      </c>
      <c r="E77">
        <v>4</v>
      </c>
      <c r="F77" t="s">
        <v>9</v>
      </c>
      <c r="G77">
        <v>45</v>
      </c>
      <c r="H77" t="str">
        <f t="shared" si="1"/>
        <v>High</v>
      </c>
    </row>
    <row r="78" spans="1:8" x14ac:dyDescent="0.3">
      <c r="A78" t="s">
        <v>180</v>
      </c>
      <c r="B78" s="3">
        <f>VLOOKUP(A78, appointment_data!A:G, 5, FALSE)</f>
        <v>45651</v>
      </c>
      <c r="C78" s="2">
        <f>VLOOKUP(A78, appointment_data!A:G, 6, FALSE)</f>
        <v>0.5</v>
      </c>
      <c r="D78" t="s">
        <v>19</v>
      </c>
      <c r="E78">
        <v>6</v>
      </c>
      <c r="F78" t="s">
        <v>51</v>
      </c>
      <c r="G78">
        <v>45</v>
      </c>
      <c r="H78" t="str">
        <f t="shared" si="1"/>
        <v>High</v>
      </c>
    </row>
    <row r="79" spans="1:8" x14ac:dyDescent="0.3">
      <c r="A79" t="s">
        <v>182</v>
      </c>
      <c r="B79" s="3">
        <f>VLOOKUP(A79, appointment_data!A:G, 5, FALSE)</f>
        <v>45464</v>
      </c>
      <c r="C79" s="2">
        <f>VLOOKUP(A79, appointment_data!A:G, 6, FALSE)</f>
        <v>0.625</v>
      </c>
      <c r="D79" t="s">
        <v>12</v>
      </c>
      <c r="E79">
        <v>8</v>
      </c>
      <c r="F79" t="s">
        <v>60</v>
      </c>
      <c r="G79">
        <v>45</v>
      </c>
      <c r="H79" t="str">
        <f t="shared" si="1"/>
        <v>High</v>
      </c>
    </row>
    <row r="80" spans="1:8" x14ac:dyDescent="0.3">
      <c r="A80" t="s">
        <v>184</v>
      </c>
      <c r="B80" s="3">
        <f>VLOOKUP(A80, appointment_data!A:G, 5, FALSE)</f>
        <v>45504</v>
      </c>
      <c r="C80" s="2">
        <f>VLOOKUP(A80, appointment_data!A:G, 6, FALSE)</f>
        <v>0.58333333333333337</v>
      </c>
      <c r="D80" t="s">
        <v>12</v>
      </c>
      <c r="E80">
        <v>9</v>
      </c>
      <c r="F80" t="s">
        <v>864</v>
      </c>
      <c r="G80">
        <v>30</v>
      </c>
      <c r="H80" t="str">
        <f t="shared" si="1"/>
        <v>High</v>
      </c>
    </row>
    <row r="81" spans="1:8" x14ac:dyDescent="0.3">
      <c r="A81" t="s">
        <v>186</v>
      </c>
      <c r="B81" s="3">
        <f>VLOOKUP(A81, appointment_data!A:G, 5, FALSE)</f>
        <v>45594</v>
      </c>
      <c r="C81" s="2">
        <f>VLOOKUP(A81, appointment_data!A:G, 6, FALSE)</f>
        <v>0.70833333333333337</v>
      </c>
      <c r="D81" t="s">
        <v>70</v>
      </c>
      <c r="E81">
        <v>4</v>
      </c>
      <c r="F81" t="s">
        <v>9</v>
      </c>
      <c r="G81">
        <v>45</v>
      </c>
      <c r="H81" t="str">
        <f t="shared" si="1"/>
        <v>High</v>
      </c>
    </row>
    <row r="82" spans="1:8" x14ac:dyDescent="0.3">
      <c r="A82" t="s">
        <v>188</v>
      </c>
      <c r="B82" s="3">
        <f>VLOOKUP(A82, appointment_data!A:G, 5, FALSE)</f>
        <v>45614</v>
      </c>
      <c r="C82" s="2">
        <f>VLOOKUP(A82, appointment_data!A:G, 6, FALSE)</f>
        <v>0.66666666666666663</v>
      </c>
      <c r="D82" t="s">
        <v>65</v>
      </c>
      <c r="E82">
        <v>3</v>
      </c>
      <c r="F82" t="s">
        <v>42</v>
      </c>
      <c r="G82">
        <v>45</v>
      </c>
      <c r="H82" t="str">
        <f t="shared" si="1"/>
        <v>Low</v>
      </c>
    </row>
    <row r="83" spans="1:8" x14ac:dyDescent="0.3">
      <c r="A83" t="s">
        <v>190</v>
      </c>
      <c r="B83" s="3">
        <f>VLOOKUP(A83, appointment_data!A:G, 5, FALSE)</f>
        <v>45541</v>
      </c>
      <c r="C83" s="2">
        <f>VLOOKUP(A83, appointment_data!A:G, 6, FALSE)</f>
        <v>0.5</v>
      </c>
      <c r="D83" t="s">
        <v>8</v>
      </c>
      <c r="E83">
        <v>7</v>
      </c>
      <c r="F83" t="s">
        <v>27</v>
      </c>
      <c r="G83">
        <v>45</v>
      </c>
      <c r="H83" t="str">
        <f t="shared" si="1"/>
        <v>High</v>
      </c>
    </row>
    <row r="84" spans="1:8" x14ac:dyDescent="0.3">
      <c r="A84" t="s">
        <v>192</v>
      </c>
      <c r="B84" s="3">
        <f>VLOOKUP(A84, appointment_data!A:G, 5, FALSE)</f>
        <v>45440</v>
      </c>
      <c r="C84" s="2">
        <f>VLOOKUP(A84, appointment_data!A:G, 6, FALSE)</f>
        <v>0.6875</v>
      </c>
      <c r="D84" t="s">
        <v>8</v>
      </c>
      <c r="E84">
        <v>4</v>
      </c>
      <c r="F84" t="s">
        <v>39</v>
      </c>
      <c r="G84">
        <v>45</v>
      </c>
      <c r="H84" t="str">
        <f t="shared" si="1"/>
        <v>High</v>
      </c>
    </row>
    <row r="85" spans="1:8" x14ac:dyDescent="0.3">
      <c r="A85" t="s">
        <v>194</v>
      </c>
      <c r="B85" s="3">
        <f>VLOOKUP(A85, appointment_data!A:G, 5, FALSE)</f>
        <v>45307</v>
      </c>
      <c r="C85" s="2">
        <f>VLOOKUP(A85, appointment_data!A:G, 6, FALSE)</f>
        <v>0.6875</v>
      </c>
      <c r="D85" t="s">
        <v>65</v>
      </c>
      <c r="E85">
        <v>9</v>
      </c>
      <c r="F85" t="s">
        <v>75</v>
      </c>
      <c r="G85">
        <v>30</v>
      </c>
      <c r="H85" t="str">
        <f t="shared" si="1"/>
        <v>High</v>
      </c>
    </row>
    <row r="86" spans="1:8" x14ac:dyDescent="0.3">
      <c r="A86" t="s">
        <v>196</v>
      </c>
      <c r="B86" s="3">
        <f>VLOOKUP(A86, appointment_data!A:G, 5, FALSE)</f>
        <v>45305</v>
      </c>
      <c r="C86" s="2" t="str">
        <f>VLOOKUP(A86, appointment_data!A:G, 6, FALSE)</f>
        <v>N/A</v>
      </c>
      <c r="D86" t="s">
        <v>65</v>
      </c>
      <c r="E86">
        <v>9</v>
      </c>
      <c r="F86" t="s">
        <v>16</v>
      </c>
      <c r="G86">
        <v>30</v>
      </c>
      <c r="H86" t="str">
        <f t="shared" si="1"/>
        <v>High</v>
      </c>
    </row>
    <row r="87" spans="1:8" x14ac:dyDescent="0.3">
      <c r="A87" t="s">
        <v>198</v>
      </c>
      <c r="B87" s="3">
        <f>VLOOKUP(A87, appointment_data!A:G, 5, FALSE)</f>
        <v>45523</v>
      </c>
      <c r="C87" s="2">
        <f>VLOOKUP(A87, appointment_data!A:G, 6, FALSE)</f>
        <v>0.33333333333333331</v>
      </c>
      <c r="D87" t="s">
        <v>23</v>
      </c>
      <c r="E87">
        <v>9</v>
      </c>
      <c r="F87" t="s">
        <v>75</v>
      </c>
      <c r="G87">
        <v>30</v>
      </c>
      <c r="H87" t="str">
        <f t="shared" si="1"/>
        <v>High</v>
      </c>
    </row>
    <row r="88" spans="1:8" x14ac:dyDescent="0.3">
      <c r="A88" t="s">
        <v>200</v>
      </c>
      <c r="B88" s="3">
        <f>VLOOKUP(A88, appointment_data!A:G, 5, FALSE)</f>
        <v>45534</v>
      </c>
      <c r="C88" s="2">
        <f>VLOOKUP(A88, appointment_data!A:G, 6, FALSE)</f>
        <v>0.72916666666666663</v>
      </c>
      <c r="D88" t="s">
        <v>8</v>
      </c>
      <c r="E88">
        <v>8</v>
      </c>
      <c r="F88" t="s">
        <v>60</v>
      </c>
      <c r="G88">
        <v>45</v>
      </c>
      <c r="H88" t="str">
        <f t="shared" si="1"/>
        <v>High</v>
      </c>
    </row>
    <row r="89" spans="1:8" x14ac:dyDescent="0.3">
      <c r="A89" t="s">
        <v>202</v>
      </c>
      <c r="B89" s="3">
        <f>VLOOKUP(A89, appointment_data!A:G, 5, FALSE)</f>
        <v>45386</v>
      </c>
      <c r="C89" s="2">
        <f>VLOOKUP(A89, appointment_data!A:G, 6, FALSE)</f>
        <v>0.72916666666666663</v>
      </c>
      <c r="D89" t="s">
        <v>65</v>
      </c>
      <c r="E89">
        <v>7</v>
      </c>
      <c r="F89" t="s">
        <v>32</v>
      </c>
      <c r="G89">
        <v>45</v>
      </c>
      <c r="H89" t="str">
        <f t="shared" si="1"/>
        <v>High</v>
      </c>
    </row>
    <row r="90" spans="1:8" x14ac:dyDescent="0.3">
      <c r="A90" t="s">
        <v>204</v>
      </c>
      <c r="B90" s="3">
        <f>VLOOKUP(A90, appointment_data!A:G, 5, FALSE)</f>
        <v>45386</v>
      </c>
      <c r="C90" s="2">
        <f>VLOOKUP(A90, appointment_data!A:G, 6, FALSE)</f>
        <v>0.70833333333333337</v>
      </c>
      <c r="D90" t="s">
        <v>23</v>
      </c>
      <c r="E90">
        <v>8</v>
      </c>
      <c r="F90" t="s">
        <v>24</v>
      </c>
      <c r="G90">
        <v>45</v>
      </c>
      <c r="H90" t="str">
        <f t="shared" si="1"/>
        <v>High</v>
      </c>
    </row>
    <row r="91" spans="1:8" x14ac:dyDescent="0.3">
      <c r="A91" t="s">
        <v>206</v>
      </c>
      <c r="B91" s="3">
        <f>VLOOKUP(A91, appointment_data!A:G, 5, FALSE)</f>
        <v>45468</v>
      </c>
      <c r="C91" s="2">
        <f>VLOOKUP(A91, appointment_data!A:G, 6, FALSE)</f>
        <v>0.625</v>
      </c>
      <c r="D91" t="s">
        <v>12</v>
      </c>
      <c r="E91">
        <v>7</v>
      </c>
      <c r="F91" t="s">
        <v>27</v>
      </c>
      <c r="G91">
        <v>45</v>
      </c>
      <c r="H91" t="str">
        <f t="shared" si="1"/>
        <v>High</v>
      </c>
    </row>
    <row r="92" spans="1:8" x14ac:dyDescent="0.3">
      <c r="A92" t="s">
        <v>208</v>
      </c>
      <c r="B92" s="3">
        <f>VLOOKUP(A92, appointment_data!A:G, 5, FALSE)</f>
        <v>45390</v>
      </c>
      <c r="C92" s="2">
        <f>VLOOKUP(A92, appointment_data!A:G, 6, FALSE)</f>
        <v>0.70833333333333337</v>
      </c>
      <c r="D92" t="s">
        <v>12</v>
      </c>
      <c r="E92">
        <v>4</v>
      </c>
      <c r="F92" t="s">
        <v>39</v>
      </c>
      <c r="G92">
        <v>45</v>
      </c>
      <c r="H92" t="str">
        <f t="shared" si="1"/>
        <v>High</v>
      </c>
    </row>
    <row r="93" spans="1:8" x14ac:dyDescent="0.3">
      <c r="A93" t="s">
        <v>210</v>
      </c>
      <c r="B93" s="3">
        <f>VLOOKUP(A93, appointment_data!A:G, 5, FALSE)</f>
        <v>45654</v>
      </c>
      <c r="C93" s="2">
        <f>VLOOKUP(A93, appointment_data!A:G, 6, FALSE)</f>
        <v>0.58333333333333337</v>
      </c>
      <c r="D93" t="s">
        <v>70</v>
      </c>
      <c r="E93">
        <v>8</v>
      </c>
      <c r="F93" t="s">
        <v>60</v>
      </c>
      <c r="G93">
        <v>45</v>
      </c>
      <c r="H93" t="str">
        <f t="shared" si="1"/>
        <v>High</v>
      </c>
    </row>
    <row r="94" spans="1:8" x14ac:dyDescent="0.3">
      <c r="A94" t="s">
        <v>212</v>
      </c>
      <c r="B94" s="3">
        <f>VLOOKUP(A94, appointment_data!A:G, 5, FALSE)</f>
        <v>45454</v>
      </c>
      <c r="C94" s="2">
        <f>VLOOKUP(A94, appointment_data!A:G, 6, FALSE)</f>
        <v>0.45833333333333331</v>
      </c>
      <c r="D94" t="s">
        <v>23</v>
      </c>
      <c r="E94">
        <v>7</v>
      </c>
      <c r="F94" t="s">
        <v>27</v>
      </c>
      <c r="G94">
        <v>45</v>
      </c>
      <c r="H94" t="str">
        <f t="shared" si="1"/>
        <v>High</v>
      </c>
    </row>
    <row r="95" spans="1:8" x14ac:dyDescent="0.3">
      <c r="A95" t="s">
        <v>214</v>
      </c>
      <c r="B95" s="3">
        <f>VLOOKUP(A95, appointment_data!A:G, 5, FALSE)</f>
        <v>45449</v>
      </c>
      <c r="C95" s="2">
        <f>VLOOKUP(A95, appointment_data!A:G, 6, FALSE)</f>
        <v>0.77083333333333337</v>
      </c>
      <c r="D95" t="s">
        <v>12</v>
      </c>
      <c r="E95">
        <v>4</v>
      </c>
      <c r="F95" t="s">
        <v>39</v>
      </c>
      <c r="G95">
        <v>45</v>
      </c>
      <c r="H95" t="str">
        <f t="shared" si="1"/>
        <v>High</v>
      </c>
    </row>
    <row r="96" spans="1:8" x14ac:dyDescent="0.3">
      <c r="A96" t="s">
        <v>216</v>
      </c>
      <c r="B96" s="3">
        <f>VLOOKUP(A96, appointment_data!A:G, 5, FALSE)</f>
        <v>45600</v>
      </c>
      <c r="C96" s="2">
        <f>VLOOKUP(A96, appointment_data!A:G, 6, FALSE)</f>
        <v>0.66666666666666663</v>
      </c>
      <c r="D96" t="s">
        <v>65</v>
      </c>
      <c r="E96">
        <v>9</v>
      </c>
      <c r="F96" t="s">
        <v>75</v>
      </c>
      <c r="G96">
        <v>30</v>
      </c>
      <c r="H96" t="str">
        <f t="shared" si="1"/>
        <v>High</v>
      </c>
    </row>
    <row r="97" spans="1:8" x14ac:dyDescent="0.3">
      <c r="A97" t="s">
        <v>218</v>
      </c>
      <c r="B97" s="3">
        <f>VLOOKUP(A97, appointment_data!A:G, 5, FALSE)</f>
        <v>45370</v>
      </c>
      <c r="C97" s="2">
        <f>VLOOKUP(A97, appointment_data!A:G, 6, FALSE)</f>
        <v>0.66666666666666663</v>
      </c>
      <c r="D97" t="s">
        <v>70</v>
      </c>
      <c r="E97">
        <v>6</v>
      </c>
      <c r="F97" t="s">
        <v>51</v>
      </c>
      <c r="G97">
        <v>45</v>
      </c>
      <c r="H97" t="str">
        <f t="shared" si="1"/>
        <v>High</v>
      </c>
    </row>
    <row r="98" spans="1:8" x14ac:dyDescent="0.3">
      <c r="A98" t="s">
        <v>220</v>
      </c>
      <c r="B98" s="3">
        <f>VLOOKUP(A98, appointment_data!A:G, 5, FALSE)</f>
        <v>45389</v>
      </c>
      <c r="C98" s="2">
        <f>VLOOKUP(A98, appointment_data!A:G, 6, FALSE)</f>
        <v>0.35416666666666669</v>
      </c>
      <c r="D98" t="s">
        <v>23</v>
      </c>
      <c r="E98">
        <v>9</v>
      </c>
      <c r="F98" t="s">
        <v>20</v>
      </c>
      <c r="G98">
        <v>30</v>
      </c>
      <c r="H98" t="str">
        <f t="shared" si="1"/>
        <v>High</v>
      </c>
    </row>
    <row r="99" spans="1:8" x14ac:dyDescent="0.3">
      <c r="A99" t="s">
        <v>222</v>
      </c>
      <c r="B99" s="3">
        <f>VLOOKUP(A99, appointment_data!A:G, 5, FALSE)</f>
        <v>45438</v>
      </c>
      <c r="C99" s="2">
        <f>VLOOKUP(A99, appointment_data!A:G, 6, FALSE)</f>
        <v>0.4375</v>
      </c>
      <c r="D99" t="s">
        <v>19</v>
      </c>
      <c r="E99">
        <v>4</v>
      </c>
      <c r="F99" t="s">
        <v>39</v>
      </c>
      <c r="G99">
        <v>45</v>
      </c>
      <c r="H99" t="str">
        <f t="shared" si="1"/>
        <v>High</v>
      </c>
    </row>
    <row r="100" spans="1:8" x14ac:dyDescent="0.3">
      <c r="A100" t="s">
        <v>224</v>
      </c>
      <c r="B100" s="3">
        <f>VLOOKUP(A100, appointment_data!A:G, 5, FALSE)</f>
        <v>45457</v>
      </c>
      <c r="C100" s="2">
        <f>VLOOKUP(A100, appointment_data!A:G, 6, FALSE)</f>
        <v>0.5</v>
      </c>
      <c r="D100" t="s">
        <v>8</v>
      </c>
      <c r="E100">
        <v>4</v>
      </c>
      <c r="F100" t="s">
        <v>9</v>
      </c>
      <c r="G100">
        <v>45</v>
      </c>
      <c r="H100" t="str">
        <f t="shared" si="1"/>
        <v>High</v>
      </c>
    </row>
    <row r="101" spans="1:8" x14ac:dyDescent="0.3">
      <c r="A101" t="s">
        <v>226</v>
      </c>
      <c r="B101" s="3">
        <f>VLOOKUP(A101, appointment_data!A:G, 5, FALSE)</f>
        <v>45428</v>
      </c>
      <c r="C101" s="2">
        <f>VLOOKUP(A101, appointment_data!A:G, 6, FALSE)</f>
        <v>0.77083333333333337</v>
      </c>
      <c r="D101" t="s">
        <v>65</v>
      </c>
      <c r="E101">
        <v>6</v>
      </c>
      <c r="F101" t="s">
        <v>51</v>
      </c>
      <c r="G101">
        <v>45</v>
      </c>
      <c r="H101" t="str">
        <f t="shared" si="1"/>
        <v>High</v>
      </c>
    </row>
    <row r="102" spans="1:8" x14ac:dyDescent="0.3">
      <c r="A102" t="s">
        <v>228</v>
      </c>
      <c r="B102" s="3">
        <f>VLOOKUP(A102, appointment_data!A:G, 5, FALSE)</f>
        <v>45367</v>
      </c>
      <c r="C102" s="2">
        <f>VLOOKUP(A102, appointment_data!A:G, 6, FALSE)</f>
        <v>0.41666666666666669</v>
      </c>
      <c r="D102" t="s">
        <v>12</v>
      </c>
      <c r="E102">
        <v>9</v>
      </c>
      <c r="F102" t="s">
        <v>16</v>
      </c>
      <c r="G102">
        <v>30</v>
      </c>
      <c r="H102" t="str">
        <f t="shared" si="1"/>
        <v>High</v>
      </c>
    </row>
    <row r="103" spans="1:8" x14ac:dyDescent="0.3">
      <c r="A103" t="s">
        <v>230</v>
      </c>
      <c r="B103" s="3">
        <f>VLOOKUP(A103, appointment_data!A:G, 5, FALSE)</f>
        <v>45529</v>
      </c>
      <c r="C103" s="2">
        <f>VLOOKUP(A103, appointment_data!A:G, 6, FALSE)</f>
        <v>0.4375</v>
      </c>
      <c r="D103" t="s">
        <v>23</v>
      </c>
      <c r="E103">
        <v>8</v>
      </c>
      <c r="F103" t="s">
        <v>60</v>
      </c>
      <c r="G103">
        <v>45</v>
      </c>
      <c r="H103" t="str">
        <f t="shared" si="1"/>
        <v>High</v>
      </c>
    </row>
    <row r="104" spans="1:8" x14ac:dyDescent="0.3">
      <c r="A104" t="s">
        <v>232</v>
      </c>
      <c r="B104" s="3">
        <f>VLOOKUP(A104, appointment_data!A:G, 5, FALSE)</f>
        <v>45306</v>
      </c>
      <c r="C104" s="2">
        <f>VLOOKUP(A104, appointment_data!A:G, 6, FALSE)</f>
        <v>0.52083333333333337</v>
      </c>
      <c r="D104" t="s">
        <v>19</v>
      </c>
      <c r="E104">
        <v>4</v>
      </c>
      <c r="F104" t="s">
        <v>9</v>
      </c>
      <c r="G104">
        <v>45</v>
      </c>
      <c r="H104" t="str">
        <f t="shared" si="1"/>
        <v>High</v>
      </c>
    </row>
    <row r="105" spans="1:8" x14ac:dyDescent="0.3">
      <c r="A105" t="s">
        <v>234</v>
      </c>
      <c r="B105" s="3">
        <f>VLOOKUP(A105, appointment_data!A:G, 5, FALSE)</f>
        <v>45618</v>
      </c>
      <c r="C105" s="2">
        <f>VLOOKUP(A105, appointment_data!A:G, 6, FALSE)</f>
        <v>0.77083333333333337</v>
      </c>
      <c r="D105" t="s">
        <v>19</v>
      </c>
      <c r="E105">
        <v>7</v>
      </c>
      <c r="F105" t="s">
        <v>27</v>
      </c>
      <c r="G105">
        <v>45</v>
      </c>
      <c r="H105" t="str">
        <f t="shared" si="1"/>
        <v>High</v>
      </c>
    </row>
    <row r="106" spans="1:8" x14ac:dyDescent="0.3">
      <c r="A106" t="s">
        <v>236</v>
      </c>
      <c r="B106" s="3">
        <f>VLOOKUP(A106, appointment_data!A:G, 5, FALSE)</f>
        <v>45387</v>
      </c>
      <c r="C106" s="2">
        <f>VLOOKUP(A106, appointment_data!A:G, 6, FALSE)</f>
        <v>0.375</v>
      </c>
      <c r="D106" t="s">
        <v>864</v>
      </c>
      <c r="E106">
        <v>6.2849740929999998</v>
      </c>
      <c r="F106" t="s">
        <v>864</v>
      </c>
      <c r="G106">
        <v>41.479591839999998</v>
      </c>
      <c r="H106" t="str">
        <f t="shared" si="1"/>
        <v>High</v>
      </c>
    </row>
    <row r="107" spans="1:8" x14ac:dyDescent="0.3">
      <c r="A107" t="s">
        <v>238</v>
      </c>
      <c r="B107" s="3">
        <f>VLOOKUP(A107, appointment_data!A:G, 5, FALSE)</f>
        <v>45646</v>
      </c>
      <c r="C107" s="2">
        <f>VLOOKUP(A107, appointment_data!A:G, 6, FALSE)</f>
        <v>0.4375</v>
      </c>
      <c r="D107" t="s">
        <v>70</v>
      </c>
      <c r="E107">
        <v>4</v>
      </c>
      <c r="F107" t="s">
        <v>9</v>
      </c>
      <c r="G107">
        <v>45</v>
      </c>
      <c r="H107" t="str">
        <f t="shared" si="1"/>
        <v>High</v>
      </c>
    </row>
    <row r="108" spans="1:8" x14ac:dyDescent="0.3">
      <c r="A108" t="s">
        <v>240</v>
      </c>
      <c r="B108" s="3">
        <f>VLOOKUP(A108, appointment_data!A:G, 5, FALSE)</f>
        <v>45608</v>
      </c>
      <c r="C108" s="2">
        <f>VLOOKUP(A108, appointment_data!A:G, 6, FALSE)</f>
        <v>0.35416666666666669</v>
      </c>
      <c r="D108" t="s">
        <v>12</v>
      </c>
      <c r="E108">
        <v>8</v>
      </c>
      <c r="F108" t="s">
        <v>24</v>
      </c>
      <c r="G108">
        <v>45</v>
      </c>
      <c r="H108" t="str">
        <f t="shared" si="1"/>
        <v>High</v>
      </c>
    </row>
    <row r="109" spans="1:8" x14ac:dyDescent="0.3">
      <c r="A109" t="s">
        <v>242</v>
      </c>
      <c r="B109" s="3">
        <f>VLOOKUP(A109, appointment_data!A:G, 5, FALSE)</f>
        <v>45367</v>
      </c>
      <c r="C109" s="2">
        <f>VLOOKUP(A109, appointment_data!A:G, 6, FALSE)</f>
        <v>0.60416666666666663</v>
      </c>
      <c r="D109" t="s">
        <v>8</v>
      </c>
      <c r="E109">
        <v>8</v>
      </c>
      <c r="F109" t="s">
        <v>60</v>
      </c>
      <c r="G109">
        <v>45</v>
      </c>
      <c r="H109" t="str">
        <f t="shared" si="1"/>
        <v>High</v>
      </c>
    </row>
    <row r="110" spans="1:8" x14ac:dyDescent="0.3">
      <c r="A110" t="s">
        <v>244</v>
      </c>
      <c r="B110" s="3">
        <f>VLOOKUP(A110, appointment_data!A:G, 5, FALSE)</f>
        <v>45404</v>
      </c>
      <c r="C110" s="2">
        <f>VLOOKUP(A110, appointment_data!A:G, 6, FALSE)</f>
        <v>0.75</v>
      </c>
      <c r="D110" t="s">
        <v>65</v>
      </c>
      <c r="E110">
        <v>9</v>
      </c>
      <c r="F110" t="s">
        <v>75</v>
      </c>
      <c r="G110">
        <v>30</v>
      </c>
      <c r="H110" t="str">
        <f t="shared" si="1"/>
        <v>High</v>
      </c>
    </row>
    <row r="111" spans="1:8" x14ac:dyDescent="0.3">
      <c r="A111" t="s">
        <v>246</v>
      </c>
      <c r="B111" s="3">
        <f>VLOOKUP(A111, appointment_data!A:G, 5, FALSE)</f>
        <v>45480</v>
      </c>
      <c r="C111" s="2">
        <f>VLOOKUP(A111, appointment_data!A:G, 6, FALSE)</f>
        <v>0.6875</v>
      </c>
      <c r="D111" t="s">
        <v>23</v>
      </c>
      <c r="E111">
        <v>6</v>
      </c>
      <c r="F111" t="s">
        <v>51</v>
      </c>
      <c r="G111">
        <v>45</v>
      </c>
      <c r="H111" t="str">
        <f t="shared" si="1"/>
        <v>High</v>
      </c>
    </row>
    <row r="112" spans="1:8" x14ac:dyDescent="0.3">
      <c r="A112" t="s">
        <v>248</v>
      </c>
      <c r="B112" s="3">
        <f>VLOOKUP(A112, appointment_data!A:G, 5, FALSE)</f>
        <v>45444</v>
      </c>
      <c r="C112" s="2">
        <f>VLOOKUP(A112, appointment_data!A:G, 6, FALSE)</f>
        <v>0.41666666666666669</v>
      </c>
      <c r="D112" t="s">
        <v>23</v>
      </c>
      <c r="E112">
        <v>6</v>
      </c>
      <c r="F112" t="s">
        <v>51</v>
      </c>
      <c r="G112">
        <v>45</v>
      </c>
      <c r="H112" t="str">
        <f t="shared" si="1"/>
        <v>High</v>
      </c>
    </row>
    <row r="113" spans="1:8" x14ac:dyDescent="0.3">
      <c r="A113" t="s">
        <v>250</v>
      </c>
      <c r="B113" s="3">
        <f>VLOOKUP(A113, appointment_data!A:G, 5, FALSE)</f>
        <v>45472</v>
      </c>
      <c r="C113" s="2">
        <f>VLOOKUP(A113, appointment_data!A:G, 6, FALSE)</f>
        <v>0.45833333333333331</v>
      </c>
      <c r="D113" t="s">
        <v>70</v>
      </c>
      <c r="E113">
        <v>4</v>
      </c>
      <c r="F113" t="s">
        <v>9</v>
      </c>
      <c r="G113">
        <v>45</v>
      </c>
      <c r="H113" t="str">
        <f t="shared" si="1"/>
        <v>High</v>
      </c>
    </row>
    <row r="114" spans="1:8" x14ac:dyDescent="0.3">
      <c r="A114" t="s">
        <v>252</v>
      </c>
      <c r="B114" s="3">
        <f>VLOOKUP(A114, appointment_data!A:G, 5, FALSE)</f>
        <v>45303</v>
      </c>
      <c r="C114" s="2">
        <f>VLOOKUP(A114, appointment_data!A:G, 6, FALSE)</f>
        <v>0.75</v>
      </c>
      <c r="D114" t="s">
        <v>65</v>
      </c>
      <c r="E114">
        <v>3</v>
      </c>
      <c r="F114" t="s">
        <v>42</v>
      </c>
      <c r="G114">
        <v>45</v>
      </c>
      <c r="H114" t="str">
        <f t="shared" si="1"/>
        <v>Low</v>
      </c>
    </row>
    <row r="115" spans="1:8" x14ac:dyDescent="0.3">
      <c r="A115" t="s">
        <v>254</v>
      </c>
      <c r="B115" s="3">
        <f>VLOOKUP(A115, appointment_data!A:G, 5, FALSE)</f>
        <v>45538</v>
      </c>
      <c r="C115" s="2" t="str">
        <f>VLOOKUP(A115, appointment_data!A:G, 6, FALSE)</f>
        <v>N/A</v>
      </c>
      <c r="D115" t="s">
        <v>23</v>
      </c>
      <c r="E115">
        <v>4</v>
      </c>
      <c r="F115" t="s">
        <v>9</v>
      </c>
      <c r="G115">
        <v>45</v>
      </c>
      <c r="H115" t="str">
        <f t="shared" si="1"/>
        <v>High</v>
      </c>
    </row>
    <row r="116" spans="1:8" x14ac:dyDescent="0.3">
      <c r="A116" t="s">
        <v>256</v>
      </c>
      <c r="B116" s="3">
        <f>VLOOKUP(A116, appointment_data!A:G, 5, FALSE)</f>
        <v>45486</v>
      </c>
      <c r="C116" s="2">
        <f>VLOOKUP(A116, appointment_data!A:G, 6, FALSE)</f>
        <v>0.33333333333333331</v>
      </c>
      <c r="D116" t="s">
        <v>65</v>
      </c>
      <c r="E116">
        <v>4</v>
      </c>
      <c r="F116" t="s">
        <v>39</v>
      </c>
      <c r="G116">
        <v>45</v>
      </c>
      <c r="H116" t="str">
        <f t="shared" si="1"/>
        <v>High</v>
      </c>
    </row>
    <row r="117" spans="1:8" x14ac:dyDescent="0.3">
      <c r="A117" t="s">
        <v>258</v>
      </c>
      <c r="B117" s="3">
        <f>VLOOKUP(A117, appointment_data!A:G, 5, FALSE)</f>
        <v>45491</v>
      </c>
      <c r="C117" s="2">
        <f>VLOOKUP(A117, appointment_data!A:G, 6, FALSE)</f>
        <v>0.41666666666666669</v>
      </c>
      <c r="D117" t="s">
        <v>23</v>
      </c>
      <c r="E117">
        <v>3</v>
      </c>
      <c r="F117" t="s">
        <v>42</v>
      </c>
      <c r="G117">
        <v>45</v>
      </c>
      <c r="H117" t="str">
        <f t="shared" si="1"/>
        <v>Low</v>
      </c>
    </row>
    <row r="118" spans="1:8" x14ac:dyDescent="0.3">
      <c r="A118" t="s">
        <v>260</v>
      </c>
      <c r="B118" s="3">
        <f>VLOOKUP(A118, appointment_data!A:G, 5, FALSE)</f>
        <v>45504</v>
      </c>
      <c r="C118" s="2">
        <f>VLOOKUP(A118, appointment_data!A:G, 6, FALSE)</f>
        <v>0.41666666666666669</v>
      </c>
      <c r="D118" t="s">
        <v>70</v>
      </c>
      <c r="E118">
        <v>7</v>
      </c>
      <c r="F118" t="s">
        <v>27</v>
      </c>
      <c r="G118">
        <v>45</v>
      </c>
      <c r="H118" t="str">
        <f t="shared" si="1"/>
        <v>High</v>
      </c>
    </row>
    <row r="119" spans="1:8" x14ac:dyDescent="0.3">
      <c r="A119" t="s">
        <v>262</v>
      </c>
      <c r="B119" s="3">
        <f>VLOOKUP(A119, appointment_data!A:G, 5, FALSE)</f>
        <v>45359</v>
      </c>
      <c r="C119" s="2">
        <f>VLOOKUP(A119, appointment_data!A:G, 6, FALSE)</f>
        <v>0.70833333333333337</v>
      </c>
      <c r="D119" t="s">
        <v>65</v>
      </c>
      <c r="E119">
        <v>9</v>
      </c>
      <c r="F119" t="s">
        <v>20</v>
      </c>
      <c r="G119">
        <v>30</v>
      </c>
      <c r="H119" t="str">
        <f t="shared" si="1"/>
        <v>High</v>
      </c>
    </row>
    <row r="120" spans="1:8" x14ac:dyDescent="0.3">
      <c r="A120" t="s">
        <v>264</v>
      </c>
      <c r="B120" s="3">
        <f>VLOOKUP(A120, appointment_data!A:G, 5, FALSE)</f>
        <v>45449</v>
      </c>
      <c r="C120" s="2">
        <f>VLOOKUP(A120, appointment_data!A:G, 6, FALSE)</f>
        <v>0.70833333333333337</v>
      </c>
      <c r="D120" t="s">
        <v>12</v>
      </c>
      <c r="E120">
        <v>9</v>
      </c>
      <c r="F120" t="s">
        <v>106</v>
      </c>
      <c r="G120">
        <v>30</v>
      </c>
      <c r="H120" t="str">
        <f t="shared" si="1"/>
        <v>High</v>
      </c>
    </row>
    <row r="121" spans="1:8" x14ac:dyDescent="0.3">
      <c r="A121" t="s">
        <v>266</v>
      </c>
      <c r="B121" s="3">
        <f>VLOOKUP(A121, appointment_data!A:G, 5, FALSE)</f>
        <v>45379</v>
      </c>
      <c r="C121" s="2">
        <f>VLOOKUP(A121, appointment_data!A:G, 6, FALSE)</f>
        <v>0.70833333333333337</v>
      </c>
      <c r="D121" t="s">
        <v>19</v>
      </c>
      <c r="E121">
        <v>7</v>
      </c>
      <c r="F121" t="s">
        <v>57</v>
      </c>
      <c r="G121">
        <v>45</v>
      </c>
      <c r="H121" t="str">
        <f t="shared" si="1"/>
        <v>High</v>
      </c>
    </row>
    <row r="122" spans="1:8" x14ac:dyDescent="0.3">
      <c r="A122" t="s">
        <v>268</v>
      </c>
      <c r="B122" s="3">
        <f>VLOOKUP(A122, appointment_data!A:G, 5, FALSE)</f>
        <v>45482</v>
      </c>
      <c r="C122" s="2">
        <f>VLOOKUP(A122, appointment_data!A:G, 6, FALSE)</f>
        <v>0.47916666666666669</v>
      </c>
      <c r="D122" t="s">
        <v>8</v>
      </c>
      <c r="E122">
        <v>8</v>
      </c>
      <c r="F122" t="s">
        <v>60</v>
      </c>
      <c r="G122">
        <v>45</v>
      </c>
      <c r="H122" t="str">
        <f t="shared" si="1"/>
        <v>High</v>
      </c>
    </row>
    <row r="123" spans="1:8" x14ac:dyDescent="0.3">
      <c r="A123" t="s">
        <v>270</v>
      </c>
      <c r="B123" s="3">
        <f>VLOOKUP(A123, appointment_data!A:G, 5, FALSE)</f>
        <v>45545</v>
      </c>
      <c r="C123" s="2">
        <f>VLOOKUP(A123, appointment_data!A:G, 6, FALSE)</f>
        <v>0.5</v>
      </c>
      <c r="D123" t="s">
        <v>19</v>
      </c>
      <c r="E123">
        <v>8</v>
      </c>
      <c r="F123" t="s">
        <v>24</v>
      </c>
      <c r="G123">
        <v>45</v>
      </c>
      <c r="H123" t="str">
        <f t="shared" si="1"/>
        <v>High</v>
      </c>
    </row>
    <row r="124" spans="1:8" x14ac:dyDescent="0.3">
      <c r="A124" t="s">
        <v>272</v>
      </c>
      <c r="B124" s="3">
        <f>VLOOKUP(A124, appointment_data!A:G, 5, FALSE)</f>
        <v>45515</v>
      </c>
      <c r="C124" s="2">
        <f>VLOOKUP(A124, appointment_data!A:G, 6, FALSE)</f>
        <v>0.64583333333333337</v>
      </c>
      <c r="D124" t="s">
        <v>8</v>
      </c>
      <c r="E124">
        <v>4</v>
      </c>
      <c r="F124" t="s">
        <v>9</v>
      </c>
      <c r="G124">
        <v>45</v>
      </c>
      <c r="H124" t="str">
        <f t="shared" si="1"/>
        <v>High</v>
      </c>
    </row>
    <row r="125" spans="1:8" x14ac:dyDescent="0.3">
      <c r="A125" t="s">
        <v>274</v>
      </c>
      <c r="B125" s="3">
        <f>VLOOKUP(A125, appointment_data!A:G, 5, FALSE)</f>
        <v>45423</v>
      </c>
      <c r="C125" s="2">
        <f>VLOOKUP(A125, appointment_data!A:G, 6, FALSE)</f>
        <v>0.58333333333333337</v>
      </c>
      <c r="D125" t="s">
        <v>12</v>
      </c>
      <c r="E125">
        <v>3</v>
      </c>
      <c r="F125" t="s">
        <v>42</v>
      </c>
      <c r="G125">
        <v>45</v>
      </c>
      <c r="H125" t="str">
        <f t="shared" si="1"/>
        <v>Low</v>
      </c>
    </row>
    <row r="126" spans="1:8" x14ac:dyDescent="0.3">
      <c r="A126" t="s">
        <v>276</v>
      </c>
      <c r="B126" s="3">
        <f>VLOOKUP(A126, appointment_data!A:G, 5, FALSE)</f>
        <v>45582</v>
      </c>
      <c r="C126" s="2">
        <f>VLOOKUP(A126, appointment_data!A:G, 6, FALSE)</f>
        <v>0.5625</v>
      </c>
      <c r="D126" t="s">
        <v>70</v>
      </c>
      <c r="E126">
        <v>4</v>
      </c>
      <c r="F126" t="s">
        <v>9</v>
      </c>
      <c r="G126">
        <v>45</v>
      </c>
      <c r="H126" t="str">
        <f t="shared" si="1"/>
        <v>High</v>
      </c>
    </row>
    <row r="127" spans="1:8" x14ac:dyDescent="0.3">
      <c r="A127" t="s">
        <v>278</v>
      </c>
      <c r="B127" s="3">
        <f>VLOOKUP(A127, appointment_data!A:G, 5, FALSE)</f>
        <v>45324</v>
      </c>
      <c r="C127" s="2">
        <f>VLOOKUP(A127, appointment_data!A:G, 6, FALSE)</f>
        <v>0.625</v>
      </c>
      <c r="D127" t="s">
        <v>12</v>
      </c>
      <c r="E127">
        <v>7</v>
      </c>
      <c r="F127" t="s">
        <v>27</v>
      </c>
      <c r="G127">
        <v>45</v>
      </c>
      <c r="H127" t="str">
        <f t="shared" si="1"/>
        <v>High</v>
      </c>
    </row>
    <row r="128" spans="1:8" x14ac:dyDescent="0.3">
      <c r="A128" t="s">
        <v>280</v>
      </c>
      <c r="B128" s="3">
        <f>VLOOKUP(A128, appointment_data!A:G, 5, FALSE)</f>
        <v>45627</v>
      </c>
      <c r="C128" s="2">
        <f>VLOOKUP(A128, appointment_data!A:G, 6, FALSE)</f>
        <v>0.64583333333333337</v>
      </c>
      <c r="D128" t="s">
        <v>70</v>
      </c>
      <c r="E128">
        <v>7</v>
      </c>
      <c r="F128" t="s">
        <v>57</v>
      </c>
      <c r="G128">
        <v>45</v>
      </c>
      <c r="H128" t="str">
        <f t="shared" si="1"/>
        <v>High</v>
      </c>
    </row>
    <row r="129" spans="1:8" x14ac:dyDescent="0.3">
      <c r="A129" t="s">
        <v>282</v>
      </c>
      <c r="B129" s="3">
        <f>VLOOKUP(A129, appointment_data!A:G, 5, FALSE)</f>
        <v>45568</v>
      </c>
      <c r="C129" s="2">
        <f>VLOOKUP(A129, appointment_data!A:G, 6, FALSE)</f>
        <v>0.375</v>
      </c>
      <c r="D129" t="s">
        <v>23</v>
      </c>
      <c r="E129">
        <v>4</v>
      </c>
      <c r="F129" t="s">
        <v>9</v>
      </c>
      <c r="G129">
        <v>45</v>
      </c>
      <c r="H129" t="str">
        <f t="shared" si="1"/>
        <v>High</v>
      </c>
    </row>
    <row r="130" spans="1:8" x14ac:dyDescent="0.3">
      <c r="A130" t="s">
        <v>284</v>
      </c>
      <c r="B130" s="3">
        <f>VLOOKUP(A130, appointment_data!A:G, 5, FALSE)</f>
        <v>45535</v>
      </c>
      <c r="C130" s="2">
        <f>VLOOKUP(A130, appointment_data!A:G, 6, FALSE)</f>
        <v>0.45833333333333331</v>
      </c>
      <c r="D130" t="s">
        <v>65</v>
      </c>
      <c r="E130">
        <v>9</v>
      </c>
      <c r="F130" t="s">
        <v>75</v>
      </c>
      <c r="G130">
        <v>30</v>
      </c>
      <c r="H130" t="str">
        <f t="shared" si="1"/>
        <v>High</v>
      </c>
    </row>
    <row r="131" spans="1:8" x14ac:dyDescent="0.3">
      <c r="A131" t="s">
        <v>286</v>
      </c>
      <c r="B131" s="3">
        <f>VLOOKUP(A131, appointment_data!A:G, 5, FALSE)</f>
        <v>45537</v>
      </c>
      <c r="C131" s="2">
        <f>VLOOKUP(A131, appointment_data!A:G, 6, FALSE)</f>
        <v>0.52083333333333337</v>
      </c>
      <c r="D131" t="s">
        <v>12</v>
      </c>
      <c r="E131">
        <v>3</v>
      </c>
      <c r="F131" t="s">
        <v>42</v>
      </c>
      <c r="G131">
        <v>45</v>
      </c>
      <c r="H131" t="str">
        <f t="shared" ref="H131:H194" si="2">IF(E131&gt;=4, "High", "Low")</f>
        <v>Low</v>
      </c>
    </row>
    <row r="132" spans="1:8" x14ac:dyDescent="0.3">
      <c r="A132" t="s">
        <v>288</v>
      </c>
      <c r="B132" s="3">
        <f>VLOOKUP(A132, appointment_data!A:G, 5, FALSE)</f>
        <v>45492</v>
      </c>
      <c r="C132" s="2">
        <f>VLOOKUP(A132, appointment_data!A:G, 6, FALSE)</f>
        <v>0.72916666666666663</v>
      </c>
      <c r="D132" t="s">
        <v>8</v>
      </c>
      <c r="E132">
        <v>3</v>
      </c>
      <c r="F132" t="s">
        <v>42</v>
      </c>
      <c r="G132">
        <v>45</v>
      </c>
      <c r="H132" t="str">
        <f t="shared" si="2"/>
        <v>Low</v>
      </c>
    </row>
    <row r="133" spans="1:8" x14ac:dyDescent="0.3">
      <c r="A133" t="s">
        <v>290</v>
      </c>
      <c r="B133" s="3">
        <f>VLOOKUP(A133, appointment_data!A:G, 5, FALSE)</f>
        <v>45558</v>
      </c>
      <c r="C133" s="2">
        <f>VLOOKUP(A133, appointment_data!A:G, 6, FALSE)</f>
        <v>0.41666666666666669</v>
      </c>
      <c r="D133" t="s">
        <v>65</v>
      </c>
      <c r="E133">
        <v>8</v>
      </c>
      <c r="F133" t="s">
        <v>60</v>
      </c>
      <c r="G133">
        <v>45</v>
      </c>
      <c r="H133" t="str">
        <f t="shared" si="2"/>
        <v>High</v>
      </c>
    </row>
    <row r="134" spans="1:8" x14ac:dyDescent="0.3">
      <c r="A134" t="s">
        <v>292</v>
      </c>
      <c r="B134" s="3">
        <f>VLOOKUP(A134, appointment_data!A:G, 5, FALSE)</f>
        <v>45502</v>
      </c>
      <c r="C134" s="2">
        <f>VLOOKUP(A134, appointment_data!A:G, 6, FALSE)</f>
        <v>0.54166666666666663</v>
      </c>
      <c r="D134" t="s">
        <v>8</v>
      </c>
      <c r="E134">
        <v>9</v>
      </c>
      <c r="F134" t="s">
        <v>20</v>
      </c>
      <c r="G134">
        <v>30</v>
      </c>
      <c r="H134" t="str">
        <f t="shared" si="2"/>
        <v>High</v>
      </c>
    </row>
    <row r="135" spans="1:8" x14ac:dyDescent="0.3">
      <c r="A135" t="s">
        <v>294</v>
      </c>
      <c r="B135" s="3">
        <f>VLOOKUP(A135, appointment_data!A:G, 5, FALSE)</f>
        <v>45367</v>
      </c>
      <c r="C135" s="2">
        <f>VLOOKUP(A135, appointment_data!A:G, 6, FALSE)</f>
        <v>0.72916666666666663</v>
      </c>
      <c r="D135" t="s">
        <v>864</v>
      </c>
      <c r="E135">
        <v>5</v>
      </c>
      <c r="F135" t="s">
        <v>864</v>
      </c>
      <c r="G135">
        <v>45</v>
      </c>
      <c r="H135" t="str">
        <f t="shared" si="2"/>
        <v>High</v>
      </c>
    </row>
    <row r="136" spans="1:8" x14ac:dyDescent="0.3">
      <c r="A136" t="s">
        <v>296</v>
      </c>
      <c r="B136" s="3">
        <f>VLOOKUP(A136, appointment_data!A:G, 5, FALSE)</f>
        <v>45634</v>
      </c>
      <c r="C136" s="2">
        <f>VLOOKUP(A136, appointment_data!A:G, 6, FALSE)</f>
        <v>0.60416666666666663</v>
      </c>
      <c r="D136" t="s">
        <v>65</v>
      </c>
      <c r="E136">
        <v>9</v>
      </c>
      <c r="F136" t="s">
        <v>20</v>
      </c>
      <c r="G136">
        <v>30</v>
      </c>
      <c r="H136" t="str">
        <f t="shared" si="2"/>
        <v>High</v>
      </c>
    </row>
    <row r="137" spans="1:8" x14ac:dyDescent="0.3">
      <c r="A137" t="s">
        <v>298</v>
      </c>
      <c r="B137" s="3">
        <f>VLOOKUP(A137, appointment_data!A:G, 5, FALSE)</f>
        <v>45465</v>
      </c>
      <c r="C137" s="2">
        <f>VLOOKUP(A137, appointment_data!A:G, 6, FALSE)</f>
        <v>0.45833333333333331</v>
      </c>
      <c r="D137" t="s">
        <v>8</v>
      </c>
      <c r="E137">
        <v>9</v>
      </c>
      <c r="F137" t="s">
        <v>75</v>
      </c>
      <c r="G137">
        <v>30</v>
      </c>
      <c r="H137" t="str">
        <f t="shared" si="2"/>
        <v>High</v>
      </c>
    </row>
    <row r="138" spans="1:8" x14ac:dyDescent="0.3">
      <c r="A138" t="s">
        <v>300</v>
      </c>
      <c r="B138" s="3">
        <f>VLOOKUP(A138, appointment_data!A:G, 5, FALSE)</f>
        <v>45443</v>
      </c>
      <c r="C138" s="2">
        <f>VLOOKUP(A138, appointment_data!A:G, 6, FALSE)</f>
        <v>0.77083333333333337</v>
      </c>
      <c r="D138" t="s">
        <v>12</v>
      </c>
      <c r="E138">
        <v>8</v>
      </c>
      <c r="F138" t="s">
        <v>60</v>
      </c>
      <c r="G138">
        <v>45</v>
      </c>
      <c r="H138" t="str">
        <f t="shared" si="2"/>
        <v>High</v>
      </c>
    </row>
    <row r="139" spans="1:8" x14ac:dyDescent="0.3">
      <c r="A139" t="s">
        <v>302</v>
      </c>
      <c r="B139" s="3">
        <f>VLOOKUP(A139, appointment_data!A:G, 5, FALSE)</f>
        <v>45443</v>
      </c>
      <c r="C139" s="2">
        <f>VLOOKUP(A139, appointment_data!A:G, 6, FALSE)</f>
        <v>0.72916666666666663</v>
      </c>
      <c r="D139" t="s">
        <v>23</v>
      </c>
      <c r="E139">
        <v>9</v>
      </c>
      <c r="F139" t="s">
        <v>106</v>
      </c>
      <c r="G139">
        <v>30</v>
      </c>
      <c r="H139" t="str">
        <f t="shared" si="2"/>
        <v>High</v>
      </c>
    </row>
    <row r="140" spans="1:8" x14ac:dyDescent="0.3">
      <c r="A140" t="s">
        <v>304</v>
      </c>
      <c r="B140" s="3">
        <f>VLOOKUP(A140, appointment_data!A:G, 5, FALSE)</f>
        <v>45318</v>
      </c>
      <c r="C140" s="2">
        <f>VLOOKUP(A140, appointment_data!A:G, 6, FALSE)</f>
        <v>0.41666666666666669</v>
      </c>
      <c r="D140" t="s">
        <v>23</v>
      </c>
      <c r="E140">
        <v>5</v>
      </c>
      <c r="F140" t="s">
        <v>54</v>
      </c>
      <c r="G140">
        <v>45</v>
      </c>
      <c r="H140" t="str">
        <f t="shared" si="2"/>
        <v>High</v>
      </c>
    </row>
    <row r="141" spans="1:8" x14ac:dyDescent="0.3">
      <c r="A141" t="s">
        <v>306</v>
      </c>
      <c r="B141" s="3">
        <f>VLOOKUP(A141, appointment_data!A:G, 5, FALSE)</f>
        <v>45292</v>
      </c>
      <c r="C141" s="2" t="str">
        <f>VLOOKUP(A141, appointment_data!A:G, 6, FALSE)</f>
        <v>N/A</v>
      </c>
      <c r="D141" t="s">
        <v>23</v>
      </c>
      <c r="E141">
        <v>3</v>
      </c>
      <c r="F141" t="s">
        <v>13</v>
      </c>
      <c r="G141">
        <v>45</v>
      </c>
      <c r="H141" t="str">
        <f t="shared" si="2"/>
        <v>Low</v>
      </c>
    </row>
    <row r="142" spans="1:8" x14ac:dyDescent="0.3">
      <c r="A142" t="s">
        <v>308</v>
      </c>
      <c r="B142" s="3">
        <f>VLOOKUP(A142, appointment_data!A:G, 5, FALSE)</f>
        <v>45305</v>
      </c>
      <c r="C142" s="2">
        <f>VLOOKUP(A142, appointment_data!A:G, 6, FALSE)</f>
        <v>0.5</v>
      </c>
      <c r="D142" t="s">
        <v>70</v>
      </c>
      <c r="E142">
        <v>8</v>
      </c>
      <c r="F142" t="s">
        <v>60</v>
      </c>
      <c r="G142">
        <v>45</v>
      </c>
      <c r="H142" t="str">
        <f t="shared" si="2"/>
        <v>High</v>
      </c>
    </row>
    <row r="143" spans="1:8" x14ac:dyDescent="0.3">
      <c r="A143" t="s">
        <v>310</v>
      </c>
      <c r="B143" s="3">
        <f>VLOOKUP(A143, appointment_data!A:G, 5, FALSE)</f>
        <v>45574</v>
      </c>
      <c r="C143" s="2">
        <f>VLOOKUP(A143, appointment_data!A:G, 6, FALSE)</f>
        <v>0.47916666666666669</v>
      </c>
      <c r="D143" t="s">
        <v>23</v>
      </c>
      <c r="E143">
        <v>3</v>
      </c>
      <c r="F143" t="s">
        <v>42</v>
      </c>
      <c r="G143">
        <v>45</v>
      </c>
      <c r="H143" t="str">
        <f t="shared" si="2"/>
        <v>Low</v>
      </c>
    </row>
    <row r="144" spans="1:8" x14ac:dyDescent="0.3">
      <c r="A144" t="s">
        <v>312</v>
      </c>
      <c r="B144" s="3">
        <f>VLOOKUP(A144, appointment_data!A:G, 5, FALSE)</f>
        <v>45406</v>
      </c>
      <c r="C144" s="2">
        <f>VLOOKUP(A144, appointment_data!A:G, 6, FALSE)</f>
        <v>0.77083333333333337</v>
      </c>
      <c r="D144" t="s">
        <v>12</v>
      </c>
      <c r="E144">
        <v>3</v>
      </c>
      <c r="F144" t="s">
        <v>13</v>
      </c>
      <c r="G144">
        <v>45</v>
      </c>
      <c r="H144" t="str">
        <f t="shared" si="2"/>
        <v>Low</v>
      </c>
    </row>
    <row r="145" spans="1:8" x14ac:dyDescent="0.3">
      <c r="A145" t="s">
        <v>314</v>
      </c>
      <c r="B145" s="3">
        <f>VLOOKUP(A145, appointment_data!A:G, 5, FALSE)</f>
        <v>45519</v>
      </c>
      <c r="C145" s="2">
        <f>VLOOKUP(A145, appointment_data!A:G, 6, FALSE)</f>
        <v>0.375</v>
      </c>
      <c r="D145" t="s">
        <v>12</v>
      </c>
      <c r="E145">
        <v>4</v>
      </c>
      <c r="F145" t="s">
        <v>39</v>
      </c>
      <c r="G145">
        <v>45</v>
      </c>
      <c r="H145" t="str">
        <f t="shared" si="2"/>
        <v>High</v>
      </c>
    </row>
    <row r="146" spans="1:8" x14ac:dyDescent="0.3">
      <c r="A146" t="s">
        <v>316</v>
      </c>
      <c r="B146" s="3">
        <f>VLOOKUP(A146, appointment_data!A:G, 5, FALSE)</f>
        <v>45373</v>
      </c>
      <c r="C146" s="2">
        <f>VLOOKUP(A146, appointment_data!A:G, 6, FALSE)</f>
        <v>0.70833333333333337</v>
      </c>
      <c r="D146" t="s">
        <v>19</v>
      </c>
      <c r="E146">
        <v>4</v>
      </c>
      <c r="F146" t="s">
        <v>39</v>
      </c>
      <c r="G146">
        <v>45</v>
      </c>
      <c r="H146" t="str">
        <f t="shared" si="2"/>
        <v>High</v>
      </c>
    </row>
    <row r="147" spans="1:8" x14ac:dyDescent="0.3">
      <c r="A147" t="s">
        <v>318</v>
      </c>
      <c r="B147" s="3">
        <f>VLOOKUP(A147, appointment_data!A:G, 5, FALSE)</f>
        <v>45613</v>
      </c>
      <c r="C147" s="2">
        <f>VLOOKUP(A147, appointment_data!A:G, 6, FALSE)</f>
        <v>0.5625</v>
      </c>
      <c r="D147" t="s">
        <v>23</v>
      </c>
      <c r="E147">
        <v>8</v>
      </c>
      <c r="F147" t="s">
        <v>60</v>
      </c>
      <c r="G147">
        <v>45</v>
      </c>
      <c r="H147" t="str">
        <f t="shared" si="2"/>
        <v>High</v>
      </c>
    </row>
    <row r="148" spans="1:8" x14ac:dyDescent="0.3">
      <c r="A148" t="s">
        <v>320</v>
      </c>
      <c r="B148" s="3">
        <f>VLOOKUP(A148, appointment_data!A:G, 5, FALSE)</f>
        <v>45335</v>
      </c>
      <c r="C148" s="2">
        <f>VLOOKUP(A148, appointment_data!A:G, 6, FALSE)</f>
        <v>0.35416666666666669</v>
      </c>
      <c r="D148" t="s">
        <v>70</v>
      </c>
      <c r="E148">
        <v>3</v>
      </c>
      <c r="F148" t="s">
        <v>13</v>
      </c>
      <c r="G148">
        <v>45</v>
      </c>
      <c r="H148" t="str">
        <f t="shared" si="2"/>
        <v>Low</v>
      </c>
    </row>
    <row r="149" spans="1:8" x14ac:dyDescent="0.3">
      <c r="A149" t="s">
        <v>322</v>
      </c>
      <c r="B149" s="3">
        <f>VLOOKUP(A149, appointment_data!A:G, 5, FALSE)</f>
        <v>45448</v>
      </c>
      <c r="C149" s="2">
        <f>VLOOKUP(A149, appointment_data!A:G, 6, FALSE)</f>
        <v>0.52083333333333337</v>
      </c>
      <c r="D149" t="s">
        <v>8</v>
      </c>
      <c r="E149">
        <v>9</v>
      </c>
      <c r="F149" t="s">
        <v>106</v>
      </c>
      <c r="G149">
        <v>30</v>
      </c>
      <c r="H149" t="str">
        <f t="shared" si="2"/>
        <v>High</v>
      </c>
    </row>
    <row r="150" spans="1:8" x14ac:dyDescent="0.3">
      <c r="A150" t="s">
        <v>324</v>
      </c>
      <c r="B150" s="3">
        <f>VLOOKUP(A150, appointment_data!A:G, 5, FALSE)</f>
        <v>45616</v>
      </c>
      <c r="C150" s="2">
        <f>VLOOKUP(A150, appointment_data!A:G, 6, FALSE)</f>
        <v>0.58333333333333337</v>
      </c>
      <c r="D150" t="s">
        <v>8</v>
      </c>
      <c r="E150">
        <v>8</v>
      </c>
      <c r="F150" t="s">
        <v>24</v>
      </c>
      <c r="G150">
        <v>45</v>
      </c>
      <c r="H150" t="str">
        <f t="shared" si="2"/>
        <v>High</v>
      </c>
    </row>
    <row r="151" spans="1:8" x14ac:dyDescent="0.3">
      <c r="A151" t="s">
        <v>326</v>
      </c>
      <c r="B151" s="3">
        <f>VLOOKUP(A151, appointment_data!A:G, 5, FALSE)</f>
        <v>45594</v>
      </c>
      <c r="C151" s="2">
        <f>VLOOKUP(A151, appointment_data!A:G, 6, FALSE)</f>
        <v>0.64583333333333337</v>
      </c>
      <c r="D151" t="s">
        <v>12</v>
      </c>
      <c r="E151">
        <v>8</v>
      </c>
      <c r="F151" t="s">
        <v>60</v>
      </c>
      <c r="G151">
        <v>45</v>
      </c>
      <c r="H151" t="str">
        <f t="shared" si="2"/>
        <v>High</v>
      </c>
    </row>
    <row r="152" spans="1:8" x14ac:dyDescent="0.3">
      <c r="A152" t="s">
        <v>328</v>
      </c>
      <c r="B152" s="3">
        <f>VLOOKUP(A152, appointment_data!A:G, 5, FALSE)</f>
        <v>45619</v>
      </c>
      <c r="C152" s="2">
        <f>VLOOKUP(A152, appointment_data!A:G, 6, FALSE)</f>
        <v>0.54166666666666663</v>
      </c>
      <c r="D152" t="s">
        <v>23</v>
      </c>
      <c r="E152">
        <v>9</v>
      </c>
      <c r="F152" t="s">
        <v>20</v>
      </c>
      <c r="G152">
        <v>30</v>
      </c>
      <c r="H152" t="str">
        <f t="shared" si="2"/>
        <v>High</v>
      </c>
    </row>
    <row r="153" spans="1:8" x14ac:dyDescent="0.3">
      <c r="A153" t="s">
        <v>330</v>
      </c>
      <c r="B153" s="3">
        <f>VLOOKUP(A153, appointment_data!A:G, 5, FALSE)</f>
        <v>45348</v>
      </c>
      <c r="C153" s="2">
        <f>VLOOKUP(A153, appointment_data!A:G, 6, FALSE)</f>
        <v>0.4375</v>
      </c>
      <c r="D153" t="s">
        <v>23</v>
      </c>
      <c r="E153">
        <v>5</v>
      </c>
      <c r="F153" t="s">
        <v>54</v>
      </c>
      <c r="G153">
        <v>45</v>
      </c>
      <c r="H153" t="str">
        <f t="shared" si="2"/>
        <v>High</v>
      </c>
    </row>
    <row r="154" spans="1:8" x14ac:dyDescent="0.3">
      <c r="A154" t="s">
        <v>332</v>
      </c>
      <c r="B154" s="3">
        <f>VLOOKUP(A154, appointment_data!A:G, 5, FALSE)</f>
        <v>45504</v>
      </c>
      <c r="C154" s="2">
        <f>VLOOKUP(A154, appointment_data!A:G, 6, FALSE)</f>
        <v>0.5</v>
      </c>
      <c r="D154" t="s">
        <v>19</v>
      </c>
      <c r="E154">
        <v>4</v>
      </c>
      <c r="F154" t="s">
        <v>9</v>
      </c>
      <c r="G154">
        <v>45</v>
      </c>
      <c r="H154" t="str">
        <f t="shared" si="2"/>
        <v>High</v>
      </c>
    </row>
    <row r="155" spans="1:8" x14ac:dyDescent="0.3">
      <c r="A155" t="s">
        <v>334</v>
      </c>
      <c r="B155" s="3">
        <f>VLOOKUP(A155, appointment_data!A:G, 5, FALSE)</f>
        <v>45558</v>
      </c>
      <c r="C155" s="2">
        <f>VLOOKUP(A155, appointment_data!A:G, 6, FALSE)</f>
        <v>0.5</v>
      </c>
      <c r="D155" t="s">
        <v>864</v>
      </c>
      <c r="E155">
        <v>6.2849740929999998</v>
      </c>
      <c r="F155" t="s">
        <v>60</v>
      </c>
      <c r="G155">
        <v>45</v>
      </c>
      <c r="H155" t="str">
        <f t="shared" si="2"/>
        <v>High</v>
      </c>
    </row>
    <row r="156" spans="1:8" x14ac:dyDescent="0.3">
      <c r="A156" t="s">
        <v>336</v>
      </c>
      <c r="B156" s="3">
        <f>VLOOKUP(A156, appointment_data!A:G, 5, FALSE)</f>
        <v>45325</v>
      </c>
      <c r="C156" s="2">
        <f>VLOOKUP(A156, appointment_data!A:G, 6, FALSE)</f>
        <v>0.39583333333333331</v>
      </c>
      <c r="D156" t="s">
        <v>8</v>
      </c>
      <c r="E156">
        <v>8</v>
      </c>
      <c r="F156" t="s">
        <v>60</v>
      </c>
      <c r="G156">
        <v>45</v>
      </c>
      <c r="H156" t="str">
        <f t="shared" si="2"/>
        <v>High</v>
      </c>
    </row>
    <row r="157" spans="1:8" x14ac:dyDescent="0.3">
      <c r="A157" t="s">
        <v>338</v>
      </c>
      <c r="B157" s="3">
        <f>VLOOKUP(A157, appointment_data!A:G, 5, FALSE)</f>
        <v>45387</v>
      </c>
      <c r="C157" s="2">
        <f>VLOOKUP(A157, appointment_data!A:G, 6, FALSE)</f>
        <v>0.75</v>
      </c>
      <c r="D157" t="s">
        <v>23</v>
      </c>
      <c r="E157">
        <v>3</v>
      </c>
      <c r="F157" t="s">
        <v>13</v>
      </c>
      <c r="G157">
        <v>45</v>
      </c>
      <c r="H157" t="str">
        <f t="shared" si="2"/>
        <v>Low</v>
      </c>
    </row>
    <row r="158" spans="1:8" x14ac:dyDescent="0.3">
      <c r="A158" t="s">
        <v>340</v>
      </c>
      <c r="B158" s="3">
        <f>VLOOKUP(A158, appointment_data!A:G, 5, FALSE)</f>
        <v>45341</v>
      </c>
      <c r="C158" s="2">
        <f>VLOOKUP(A158, appointment_data!A:G, 6, FALSE)</f>
        <v>0.33333333333333331</v>
      </c>
      <c r="D158" t="s">
        <v>19</v>
      </c>
      <c r="E158">
        <v>4</v>
      </c>
      <c r="F158" t="s">
        <v>9</v>
      </c>
      <c r="G158">
        <v>45</v>
      </c>
      <c r="H158" t="str">
        <f t="shared" si="2"/>
        <v>High</v>
      </c>
    </row>
    <row r="159" spans="1:8" x14ac:dyDescent="0.3">
      <c r="A159" t="s">
        <v>342</v>
      </c>
      <c r="B159" s="3">
        <f>VLOOKUP(A159, appointment_data!A:G, 5, FALSE)</f>
        <v>45565</v>
      </c>
      <c r="C159" s="2">
        <f>VLOOKUP(A159, appointment_data!A:G, 6, FALSE)</f>
        <v>0.58333333333333337</v>
      </c>
      <c r="D159" t="s">
        <v>23</v>
      </c>
      <c r="E159">
        <v>9</v>
      </c>
      <c r="F159" t="s">
        <v>75</v>
      </c>
      <c r="G159">
        <v>30</v>
      </c>
      <c r="H159" t="str">
        <f t="shared" si="2"/>
        <v>High</v>
      </c>
    </row>
    <row r="160" spans="1:8" x14ac:dyDescent="0.3">
      <c r="A160" t="s">
        <v>344</v>
      </c>
      <c r="B160" s="3">
        <f>VLOOKUP(A160, appointment_data!A:G, 5, FALSE)</f>
        <v>45481</v>
      </c>
      <c r="C160" s="2">
        <f>VLOOKUP(A160, appointment_data!A:G, 6, FALSE)</f>
        <v>0.60416666666666663</v>
      </c>
      <c r="D160" t="s">
        <v>23</v>
      </c>
      <c r="E160">
        <v>6</v>
      </c>
      <c r="F160" t="s">
        <v>42</v>
      </c>
      <c r="G160">
        <v>45</v>
      </c>
      <c r="H160" t="str">
        <f t="shared" si="2"/>
        <v>High</v>
      </c>
    </row>
    <row r="161" spans="1:8" x14ac:dyDescent="0.3">
      <c r="A161" t="s">
        <v>346</v>
      </c>
      <c r="B161" s="3">
        <f>VLOOKUP(A161, appointment_data!A:G, 5, FALSE)</f>
        <v>45619</v>
      </c>
      <c r="C161" s="2">
        <f>VLOOKUP(A161, appointment_data!A:G, 6, FALSE)</f>
        <v>0.625</v>
      </c>
      <c r="D161" t="s">
        <v>65</v>
      </c>
      <c r="E161">
        <v>4</v>
      </c>
      <c r="F161" t="s">
        <v>42</v>
      </c>
      <c r="G161">
        <v>45</v>
      </c>
      <c r="H161" t="str">
        <f t="shared" si="2"/>
        <v>High</v>
      </c>
    </row>
    <row r="162" spans="1:8" x14ac:dyDescent="0.3">
      <c r="A162" t="s">
        <v>348</v>
      </c>
      <c r="B162" s="3">
        <f>VLOOKUP(A162, appointment_data!A:G, 5, FALSE)</f>
        <v>45305</v>
      </c>
      <c r="C162" s="2" t="str">
        <f>VLOOKUP(A162, appointment_data!A:G, 6, FALSE)</f>
        <v>N/A</v>
      </c>
      <c r="D162" t="s">
        <v>65</v>
      </c>
      <c r="E162">
        <v>9</v>
      </c>
      <c r="F162" t="s">
        <v>16</v>
      </c>
      <c r="G162">
        <v>30</v>
      </c>
      <c r="H162" t="str">
        <f t="shared" si="2"/>
        <v>High</v>
      </c>
    </row>
    <row r="163" spans="1:8" x14ac:dyDescent="0.3">
      <c r="A163" t="s">
        <v>350</v>
      </c>
      <c r="B163" s="3">
        <f>VLOOKUP(A163, appointment_data!A:G, 5, FALSE)</f>
        <v>45474</v>
      </c>
      <c r="C163" s="2">
        <f>VLOOKUP(A163, appointment_data!A:G, 6, FALSE)</f>
        <v>0.52083333333333337</v>
      </c>
      <c r="D163" t="s">
        <v>23</v>
      </c>
      <c r="E163">
        <v>4</v>
      </c>
      <c r="F163" t="s">
        <v>9</v>
      </c>
      <c r="G163">
        <v>45</v>
      </c>
      <c r="H163" t="str">
        <f t="shared" si="2"/>
        <v>High</v>
      </c>
    </row>
    <row r="164" spans="1:8" x14ac:dyDescent="0.3">
      <c r="A164" t="s">
        <v>352</v>
      </c>
      <c r="B164" s="3">
        <f>VLOOKUP(A164, appointment_data!A:G, 5, FALSE)</f>
        <v>45337</v>
      </c>
      <c r="C164" s="2">
        <f>VLOOKUP(A164, appointment_data!A:G, 6, FALSE)</f>
        <v>0.45833333333333331</v>
      </c>
      <c r="D164" t="s">
        <v>12</v>
      </c>
      <c r="E164">
        <v>8</v>
      </c>
      <c r="F164" t="s">
        <v>60</v>
      </c>
      <c r="G164">
        <v>45</v>
      </c>
      <c r="H164" t="str">
        <f t="shared" si="2"/>
        <v>High</v>
      </c>
    </row>
    <row r="165" spans="1:8" x14ac:dyDescent="0.3">
      <c r="A165" t="s">
        <v>354</v>
      </c>
      <c r="B165" s="3">
        <f>VLOOKUP(A165, appointment_data!A:G, 5, FALSE)</f>
        <v>45405</v>
      </c>
      <c r="C165" s="2">
        <f>VLOOKUP(A165, appointment_data!A:G, 6, FALSE)</f>
        <v>0.45833333333333331</v>
      </c>
      <c r="D165" t="s">
        <v>70</v>
      </c>
      <c r="E165">
        <v>4</v>
      </c>
      <c r="F165" t="s">
        <v>42</v>
      </c>
      <c r="G165">
        <v>45</v>
      </c>
      <c r="H165" t="str">
        <f t="shared" si="2"/>
        <v>High</v>
      </c>
    </row>
    <row r="166" spans="1:8" x14ac:dyDescent="0.3">
      <c r="A166" t="s">
        <v>356</v>
      </c>
      <c r="B166" s="3">
        <f>VLOOKUP(A166, appointment_data!A:G, 5, FALSE)</f>
        <v>45434</v>
      </c>
      <c r="C166" s="2">
        <f>VLOOKUP(A166, appointment_data!A:G, 6, FALSE)</f>
        <v>0.45833333333333331</v>
      </c>
      <c r="D166" t="s">
        <v>12</v>
      </c>
      <c r="E166">
        <v>7</v>
      </c>
      <c r="F166" t="s">
        <v>32</v>
      </c>
      <c r="G166">
        <v>45</v>
      </c>
      <c r="H166" t="str">
        <f t="shared" si="2"/>
        <v>High</v>
      </c>
    </row>
    <row r="167" spans="1:8" x14ac:dyDescent="0.3">
      <c r="A167" t="s">
        <v>358</v>
      </c>
      <c r="B167" s="3">
        <f>VLOOKUP(A167, appointment_data!A:G, 5, FALSE)</f>
        <v>45474</v>
      </c>
      <c r="C167" s="2">
        <f>VLOOKUP(A167, appointment_data!A:G, 6, FALSE)</f>
        <v>0.72916666666666663</v>
      </c>
      <c r="D167" t="s">
        <v>12</v>
      </c>
      <c r="E167">
        <v>9</v>
      </c>
      <c r="F167" t="s">
        <v>106</v>
      </c>
      <c r="G167">
        <v>30</v>
      </c>
      <c r="H167" t="str">
        <f t="shared" si="2"/>
        <v>High</v>
      </c>
    </row>
    <row r="168" spans="1:8" x14ac:dyDescent="0.3">
      <c r="A168" t="s">
        <v>360</v>
      </c>
      <c r="B168" s="3">
        <f>VLOOKUP(A168, appointment_data!A:G, 5, FALSE)</f>
        <v>45501</v>
      </c>
      <c r="C168" s="2">
        <f>VLOOKUP(A168, appointment_data!A:G, 6, FALSE)</f>
        <v>0.70833333333333337</v>
      </c>
      <c r="D168" t="s">
        <v>65</v>
      </c>
      <c r="E168">
        <v>8</v>
      </c>
      <c r="F168" t="s">
        <v>24</v>
      </c>
      <c r="G168">
        <v>45</v>
      </c>
      <c r="H168" t="str">
        <f t="shared" si="2"/>
        <v>High</v>
      </c>
    </row>
    <row r="169" spans="1:8" x14ac:dyDescent="0.3">
      <c r="A169" t="s">
        <v>362</v>
      </c>
      <c r="B169" s="3">
        <f>VLOOKUP(A169, appointment_data!A:G, 5, FALSE)</f>
        <v>45613</v>
      </c>
      <c r="C169" s="2">
        <f>VLOOKUP(A169, appointment_data!A:G, 6, FALSE)</f>
        <v>0.33333333333333331</v>
      </c>
      <c r="D169" t="s">
        <v>8</v>
      </c>
      <c r="E169">
        <v>6</v>
      </c>
      <c r="F169" t="s">
        <v>51</v>
      </c>
      <c r="G169">
        <v>45</v>
      </c>
      <c r="H169" t="str">
        <f t="shared" si="2"/>
        <v>High</v>
      </c>
    </row>
    <row r="170" spans="1:8" x14ac:dyDescent="0.3">
      <c r="A170" t="s">
        <v>364</v>
      </c>
      <c r="B170" s="3">
        <f>VLOOKUP(A170, appointment_data!A:G, 5, FALSE)</f>
        <v>45368</v>
      </c>
      <c r="C170" s="2">
        <f>VLOOKUP(A170, appointment_data!A:G, 6, FALSE)</f>
        <v>0.75</v>
      </c>
      <c r="D170" t="s">
        <v>65</v>
      </c>
      <c r="E170">
        <v>3</v>
      </c>
      <c r="F170" t="s">
        <v>13</v>
      </c>
      <c r="G170">
        <v>45</v>
      </c>
      <c r="H170" t="str">
        <f t="shared" si="2"/>
        <v>Low</v>
      </c>
    </row>
    <row r="171" spans="1:8" x14ac:dyDescent="0.3">
      <c r="A171" t="s">
        <v>366</v>
      </c>
      <c r="B171" s="3">
        <f>VLOOKUP(A171, appointment_data!A:G, 5, FALSE)</f>
        <v>45354</v>
      </c>
      <c r="C171" s="2">
        <f>VLOOKUP(A171, appointment_data!A:G, 6, FALSE)</f>
        <v>0.625</v>
      </c>
      <c r="D171" t="s">
        <v>65</v>
      </c>
      <c r="E171">
        <v>6</v>
      </c>
      <c r="F171" t="s">
        <v>51</v>
      </c>
      <c r="G171">
        <v>45</v>
      </c>
      <c r="H171" t="str">
        <f t="shared" si="2"/>
        <v>High</v>
      </c>
    </row>
    <row r="172" spans="1:8" x14ac:dyDescent="0.3">
      <c r="A172" t="s">
        <v>368</v>
      </c>
      <c r="B172" s="3">
        <f>VLOOKUP(A172, appointment_data!A:G, 5, FALSE)</f>
        <v>45421</v>
      </c>
      <c r="C172" s="2">
        <f>VLOOKUP(A172, appointment_data!A:G, 6, FALSE)</f>
        <v>0.33333333333333331</v>
      </c>
      <c r="D172" t="s">
        <v>8</v>
      </c>
      <c r="E172">
        <v>4</v>
      </c>
      <c r="F172" t="s">
        <v>39</v>
      </c>
      <c r="G172">
        <v>45</v>
      </c>
      <c r="H172" t="str">
        <f t="shared" si="2"/>
        <v>High</v>
      </c>
    </row>
    <row r="173" spans="1:8" x14ac:dyDescent="0.3">
      <c r="A173" t="s">
        <v>370</v>
      </c>
      <c r="B173" s="3">
        <f>VLOOKUP(A173, appointment_data!A:G, 5, FALSE)</f>
        <v>45437</v>
      </c>
      <c r="C173" s="2">
        <f>VLOOKUP(A173, appointment_data!A:G, 6, FALSE)</f>
        <v>0.54166666666666663</v>
      </c>
      <c r="D173" t="s">
        <v>8</v>
      </c>
      <c r="E173">
        <v>9</v>
      </c>
      <c r="F173" t="s">
        <v>75</v>
      </c>
      <c r="G173">
        <v>30</v>
      </c>
      <c r="H173" t="str">
        <f t="shared" si="2"/>
        <v>High</v>
      </c>
    </row>
    <row r="174" spans="1:8" x14ac:dyDescent="0.3">
      <c r="A174" t="s">
        <v>372</v>
      </c>
      <c r="B174" s="3">
        <f>VLOOKUP(A174, appointment_data!A:G, 5, FALSE)</f>
        <v>45598</v>
      </c>
      <c r="C174" s="2">
        <f>VLOOKUP(A174, appointment_data!A:G, 6, FALSE)</f>
        <v>0.33333333333333331</v>
      </c>
      <c r="D174" t="s">
        <v>23</v>
      </c>
      <c r="E174">
        <v>7</v>
      </c>
      <c r="F174" t="s">
        <v>32</v>
      </c>
      <c r="G174">
        <v>45</v>
      </c>
      <c r="H174" t="str">
        <f t="shared" si="2"/>
        <v>High</v>
      </c>
    </row>
    <row r="175" spans="1:8" x14ac:dyDescent="0.3">
      <c r="A175" t="s">
        <v>374</v>
      </c>
      <c r="B175" s="3">
        <f>VLOOKUP(A175, appointment_data!A:G, 5, FALSE)</f>
        <v>45446</v>
      </c>
      <c r="C175" s="2">
        <f>VLOOKUP(A175, appointment_data!A:G, 6, FALSE)</f>
        <v>0.39583333333333331</v>
      </c>
      <c r="D175" t="s">
        <v>23</v>
      </c>
      <c r="E175">
        <v>7</v>
      </c>
      <c r="F175" t="s">
        <v>57</v>
      </c>
      <c r="G175">
        <v>45</v>
      </c>
      <c r="H175" t="str">
        <f t="shared" si="2"/>
        <v>High</v>
      </c>
    </row>
    <row r="176" spans="1:8" x14ac:dyDescent="0.3">
      <c r="A176" t="s">
        <v>376</v>
      </c>
      <c r="B176" s="3">
        <f>VLOOKUP(A176, appointment_data!A:G, 5, FALSE)</f>
        <v>45343</v>
      </c>
      <c r="C176" s="2">
        <f>VLOOKUP(A176, appointment_data!A:G, 6, FALSE)</f>
        <v>0.625</v>
      </c>
      <c r="D176" t="s">
        <v>8</v>
      </c>
      <c r="E176">
        <v>8</v>
      </c>
      <c r="F176" t="s">
        <v>60</v>
      </c>
      <c r="G176">
        <v>45</v>
      </c>
      <c r="H176" t="str">
        <f t="shared" si="2"/>
        <v>High</v>
      </c>
    </row>
    <row r="177" spans="1:8" x14ac:dyDescent="0.3">
      <c r="A177" t="s">
        <v>378</v>
      </c>
      <c r="B177" s="3">
        <f>VLOOKUP(A177, appointment_data!A:G, 5, FALSE)</f>
        <v>45595</v>
      </c>
      <c r="C177" s="2">
        <f>VLOOKUP(A177, appointment_data!A:G, 6, FALSE)</f>
        <v>0.66666666666666663</v>
      </c>
      <c r="D177" t="s">
        <v>8</v>
      </c>
      <c r="E177">
        <v>9</v>
      </c>
      <c r="F177" t="s">
        <v>16</v>
      </c>
      <c r="G177">
        <v>30</v>
      </c>
      <c r="H177" t="str">
        <f t="shared" si="2"/>
        <v>High</v>
      </c>
    </row>
    <row r="178" spans="1:8" x14ac:dyDescent="0.3">
      <c r="A178" t="s">
        <v>380</v>
      </c>
      <c r="B178" s="3">
        <f>VLOOKUP(A178, appointment_data!A:G, 5, FALSE)</f>
        <v>45358</v>
      </c>
      <c r="C178" s="2">
        <f>VLOOKUP(A178, appointment_data!A:G, 6, FALSE)</f>
        <v>0.375</v>
      </c>
      <c r="D178" t="s">
        <v>23</v>
      </c>
      <c r="E178">
        <v>9</v>
      </c>
      <c r="F178" t="s">
        <v>75</v>
      </c>
      <c r="G178">
        <v>30</v>
      </c>
      <c r="H178" t="str">
        <f t="shared" si="2"/>
        <v>High</v>
      </c>
    </row>
    <row r="179" spans="1:8" x14ac:dyDescent="0.3">
      <c r="A179" t="s">
        <v>382</v>
      </c>
      <c r="B179" s="3">
        <f>VLOOKUP(A179, appointment_data!A:G, 5, FALSE)</f>
        <v>45349</v>
      </c>
      <c r="C179" s="2">
        <f>VLOOKUP(A179, appointment_data!A:G, 6, FALSE)</f>
        <v>0.60416666666666663</v>
      </c>
      <c r="D179" t="s">
        <v>23</v>
      </c>
      <c r="E179">
        <v>6</v>
      </c>
      <c r="F179" t="s">
        <v>51</v>
      </c>
      <c r="G179">
        <v>45</v>
      </c>
      <c r="H179" t="str">
        <f t="shared" si="2"/>
        <v>High</v>
      </c>
    </row>
    <row r="180" spans="1:8" x14ac:dyDescent="0.3">
      <c r="A180" t="s">
        <v>384</v>
      </c>
      <c r="B180" s="3">
        <f>VLOOKUP(A180, appointment_data!A:G, 5, FALSE)</f>
        <v>45507</v>
      </c>
      <c r="C180" s="2">
        <f>VLOOKUP(A180, appointment_data!A:G, 6, FALSE)</f>
        <v>0.5</v>
      </c>
      <c r="D180" t="s">
        <v>70</v>
      </c>
      <c r="E180">
        <v>4</v>
      </c>
      <c r="F180" t="s">
        <v>9</v>
      </c>
      <c r="G180">
        <v>45</v>
      </c>
      <c r="H180" t="str">
        <f t="shared" si="2"/>
        <v>High</v>
      </c>
    </row>
    <row r="181" spans="1:8" x14ac:dyDescent="0.3">
      <c r="A181" t="s">
        <v>386</v>
      </c>
      <c r="B181" s="3">
        <f>VLOOKUP(A181, appointment_data!A:G, 5, FALSE)</f>
        <v>45483</v>
      </c>
      <c r="C181" s="2">
        <f>VLOOKUP(A181, appointment_data!A:G, 6, FALSE)</f>
        <v>0.77083333333333337</v>
      </c>
      <c r="D181" t="s">
        <v>19</v>
      </c>
      <c r="E181">
        <v>6</v>
      </c>
      <c r="F181" t="s">
        <v>51</v>
      </c>
      <c r="G181">
        <v>45</v>
      </c>
      <c r="H181" t="str">
        <f t="shared" si="2"/>
        <v>High</v>
      </c>
    </row>
    <row r="182" spans="1:8" x14ac:dyDescent="0.3">
      <c r="A182" t="s">
        <v>388</v>
      </c>
      <c r="B182" s="3">
        <f>VLOOKUP(A182, appointment_data!A:G, 5, FALSE)</f>
        <v>45472</v>
      </c>
      <c r="C182" s="2">
        <f>VLOOKUP(A182, appointment_data!A:G, 6, FALSE)</f>
        <v>0.33333333333333331</v>
      </c>
      <c r="D182" t="s">
        <v>23</v>
      </c>
      <c r="E182">
        <v>8</v>
      </c>
      <c r="F182" t="s">
        <v>60</v>
      </c>
      <c r="G182">
        <v>45</v>
      </c>
      <c r="H182" t="str">
        <f t="shared" si="2"/>
        <v>High</v>
      </c>
    </row>
    <row r="183" spans="1:8" x14ac:dyDescent="0.3">
      <c r="A183" t="s">
        <v>390</v>
      </c>
      <c r="B183" s="3">
        <f>VLOOKUP(A183, appointment_data!A:G, 5, FALSE)</f>
        <v>45388</v>
      </c>
      <c r="C183" s="2">
        <f>VLOOKUP(A183, appointment_data!A:G, 6, FALSE)</f>
        <v>0.5</v>
      </c>
      <c r="D183" t="s">
        <v>65</v>
      </c>
      <c r="E183">
        <v>8</v>
      </c>
      <c r="F183" t="s">
        <v>60</v>
      </c>
      <c r="G183">
        <v>45</v>
      </c>
      <c r="H183" t="str">
        <f t="shared" si="2"/>
        <v>High</v>
      </c>
    </row>
    <row r="184" spans="1:8" x14ac:dyDescent="0.3">
      <c r="A184" t="s">
        <v>392</v>
      </c>
      <c r="B184" s="3">
        <f>VLOOKUP(A184, appointment_data!A:G, 5, FALSE)</f>
        <v>45390</v>
      </c>
      <c r="C184" s="2">
        <f>VLOOKUP(A184, appointment_data!A:G, 6, FALSE)</f>
        <v>0.35416666666666669</v>
      </c>
      <c r="D184" t="s">
        <v>8</v>
      </c>
      <c r="E184">
        <v>9</v>
      </c>
      <c r="F184" t="s">
        <v>16</v>
      </c>
      <c r="G184">
        <v>30</v>
      </c>
      <c r="H184" t="str">
        <f t="shared" si="2"/>
        <v>High</v>
      </c>
    </row>
    <row r="185" spans="1:8" x14ac:dyDescent="0.3">
      <c r="A185" t="s">
        <v>394</v>
      </c>
      <c r="B185" s="3">
        <f>VLOOKUP(A185, appointment_data!A:G, 5, FALSE)</f>
        <v>45294</v>
      </c>
      <c r="C185" s="2">
        <f>VLOOKUP(A185, appointment_data!A:G, 6, FALSE)</f>
        <v>0.5</v>
      </c>
      <c r="D185" t="s">
        <v>19</v>
      </c>
      <c r="E185">
        <v>5</v>
      </c>
      <c r="F185" t="s">
        <v>54</v>
      </c>
      <c r="G185">
        <v>45</v>
      </c>
      <c r="H185" t="str">
        <f t="shared" si="2"/>
        <v>High</v>
      </c>
    </row>
    <row r="186" spans="1:8" x14ac:dyDescent="0.3">
      <c r="A186" t="s">
        <v>396</v>
      </c>
      <c r="B186" s="3">
        <f>VLOOKUP(A186, appointment_data!A:G, 5, FALSE)</f>
        <v>45573</v>
      </c>
      <c r="C186" s="2">
        <f>VLOOKUP(A186, appointment_data!A:G, 6, FALSE)</f>
        <v>0.6875</v>
      </c>
      <c r="D186" t="s">
        <v>19</v>
      </c>
      <c r="E186">
        <v>5</v>
      </c>
      <c r="F186" t="s">
        <v>54</v>
      </c>
      <c r="G186">
        <v>45</v>
      </c>
      <c r="H186" t="str">
        <f t="shared" si="2"/>
        <v>High</v>
      </c>
    </row>
    <row r="187" spans="1:8" x14ac:dyDescent="0.3">
      <c r="A187" t="s">
        <v>398</v>
      </c>
      <c r="B187" s="3">
        <f>VLOOKUP(A187, appointment_data!A:G, 5, FALSE)</f>
        <v>45480</v>
      </c>
      <c r="C187" s="2" t="str">
        <f>VLOOKUP(A187, appointment_data!A:G, 6, FALSE)</f>
        <v>N/A</v>
      </c>
      <c r="D187" t="s">
        <v>70</v>
      </c>
      <c r="E187">
        <v>6</v>
      </c>
      <c r="F187" t="s">
        <v>51</v>
      </c>
      <c r="G187">
        <v>45</v>
      </c>
      <c r="H187" t="str">
        <f t="shared" si="2"/>
        <v>High</v>
      </c>
    </row>
    <row r="188" spans="1:8" x14ac:dyDescent="0.3">
      <c r="A188" t="s">
        <v>400</v>
      </c>
      <c r="B188" s="3">
        <f>VLOOKUP(A188, appointment_data!A:G, 5, FALSE)</f>
        <v>45543</v>
      </c>
      <c r="C188" s="2">
        <f>VLOOKUP(A188, appointment_data!A:G, 6, FALSE)</f>
        <v>0.33333333333333331</v>
      </c>
      <c r="D188" t="s">
        <v>19</v>
      </c>
      <c r="E188">
        <v>7</v>
      </c>
      <c r="F188" t="s">
        <v>27</v>
      </c>
      <c r="G188">
        <v>45</v>
      </c>
      <c r="H188" t="str">
        <f t="shared" si="2"/>
        <v>High</v>
      </c>
    </row>
    <row r="189" spans="1:8" x14ac:dyDescent="0.3">
      <c r="A189" t="s">
        <v>402</v>
      </c>
      <c r="B189" s="3">
        <f>VLOOKUP(A189, appointment_data!A:G, 5, FALSE)</f>
        <v>45319</v>
      </c>
      <c r="C189" s="2">
        <f>VLOOKUP(A189, appointment_data!A:G, 6, FALSE)</f>
        <v>0.66666666666666663</v>
      </c>
      <c r="D189" t="s">
        <v>65</v>
      </c>
      <c r="E189">
        <v>3</v>
      </c>
      <c r="F189" t="s">
        <v>42</v>
      </c>
      <c r="G189">
        <v>45</v>
      </c>
      <c r="H189" t="str">
        <f t="shared" si="2"/>
        <v>Low</v>
      </c>
    </row>
    <row r="190" spans="1:8" x14ac:dyDescent="0.3">
      <c r="A190" t="s">
        <v>404</v>
      </c>
      <c r="B190" s="3">
        <f>VLOOKUP(A190, appointment_data!A:G, 5, FALSE)</f>
        <v>45427</v>
      </c>
      <c r="C190" s="2">
        <f>VLOOKUP(A190, appointment_data!A:G, 6, FALSE)</f>
        <v>0.60416666666666663</v>
      </c>
      <c r="D190" t="s">
        <v>19</v>
      </c>
      <c r="E190">
        <v>8</v>
      </c>
      <c r="F190" t="s">
        <v>60</v>
      </c>
      <c r="G190">
        <v>45</v>
      </c>
      <c r="H190" t="str">
        <f t="shared" si="2"/>
        <v>High</v>
      </c>
    </row>
    <row r="191" spans="1:8" x14ac:dyDescent="0.3">
      <c r="A191" t="s">
        <v>406</v>
      </c>
      <c r="B191" s="3">
        <f>VLOOKUP(A191, appointment_data!A:G, 5, FALSE)</f>
        <v>45455</v>
      </c>
      <c r="C191" s="2">
        <f>VLOOKUP(A191, appointment_data!A:G, 6, FALSE)</f>
        <v>0.66666666666666663</v>
      </c>
      <c r="D191" t="s">
        <v>65</v>
      </c>
      <c r="E191">
        <v>4</v>
      </c>
      <c r="F191" t="s">
        <v>9</v>
      </c>
      <c r="G191">
        <v>45</v>
      </c>
      <c r="H191" t="str">
        <f t="shared" si="2"/>
        <v>High</v>
      </c>
    </row>
    <row r="192" spans="1:8" x14ac:dyDescent="0.3">
      <c r="A192" t="s">
        <v>408</v>
      </c>
      <c r="B192" s="3">
        <f>VLOOKUP(A192, appointment_data!A:G, 5, FALSE)</f>
        <v>45364</v>
      </c>
      <c r="C192" s="2">
        <f>VLOOKUP(A192, appointment_data!A:G, 6, FALSE)</f>
        <v>0.58333333333333337</v>
      </c>
      <c r="D192" t="s">
        <v>70</v>
      </c>
      <c r="E192">
        <v>3</v>
      </c>
      <c r="F192" t="s">
        <v>42</v>
      </c>
      <c r="G192">
        <v>45</v>
      </c>
      <c r="H192" t="str">
        <f t="shared" si="2"/>
        <v>Low</v>
      </c>
    </row>
    <row r="193" spans="1:8" x14ac:dyDescent="0.3">
      <c r="A193" t="s">
        <v>410</v>
      </c>
      <c r="B193" s="3">
        <f>VLOOKUP(A193, appointment_data!A:G, 5, FALSE)</f>
        <v>45435</v>
      </c>
      <c r="C193" s="2">
        <f>VLOOKUP(A193, appointment_data!A:G, 6, FALSE)</f>
        <v>0.64583333333333337</v>
      </c>
      <c r="D193" t="s">
        <v>8</v>
      </c>
      <c r="E193">
        <v>9</v>
      </c>
      <c r="F193" t="s">
        <v>20</v>
      </c>
      <c r="G193">
        <v>30</v>
      </c>
      <c r="H193" t="str">
        <f t="shared" si="2"/>
        <v>High</v>
      </c>
    </row>
    <row r="194" spans="1:8" x14ac:dyDescent="0.3">
      <c r="A194" t="s">
        <v>412</v>
      </c>
      <c r="B194" s="3">
        <f>VLOOKUP(A194, appointment_data!A:G, 5, FALSE)</f>
        <v>45317</v>
      </c>
      <c r="C194" s="2">
        <f>VLOOKUP(A194, appointment_data!A:G, 6, FALSE)</f>
        <v>0.60416666666666663</v>
      </c>
      <c r="D194" t="s">
        <v>8</v>
      </c>
      <c r="E194">
        <v>9</v>
      </c>
      <c r="F194" t="s">
        <v>75</v>
      </c>
      <c r="G194">
        <v>30</v>
      </c>
      <c r="H194" t="str">
        <f t="shared" si="2"/>
        <v>High</v>
      </c>
    </row>
    <row r="195" spans="1:8" x14ac:dyDescent="0.3">
      <c r="A195" t="s">
        <v>414</v>
      </c>
      <c r="B195" s="3">
        <f>VLOOKUP(A195, appointment_data!A:G, 5, FALSE)</f>
        <v>45527</v>
      </c>
      <c r="C195" s="2">
        <f>VLOOKUP(A195, appointment_data!A:G, 6, FALSE)</f>
        <v>0.45833333333333331</v>
      </c>
      <c r="D195" t="s">
        <v>19</v>
      </c>
      <c r="E195">
        <v>8</v>
      </c>
      <c r="F195" t="s">
        <v>60</v>
      </c>
      <c r="G195">
        <v>45</v>
      </c>
      <c r="H195" t="str">
        <f t="shared" ref="H195:H200" si="3">IF(E195&gt;=4, "High", "Low")</f>
        <v>High</v>
      </c>
    </row>
    <row r="196" spans="1:8" x14ac:dyDescent="0.3">
      <c r="A196" t="s">
        <v>416</v>
      </c>
      <c r="B196" s="3">
        <f>VLOOKUP(A196, appointment_data!A:G, 5, FALSE)</f>
        <v>45377</v>
      </c>
      <c r="C196" s="2">
        <f>VLOOKUP(A196, appointment_data!A:G, 6, FALSE)</f>
        <v>0.39583333333333331</v>
      </c>
      <c r="D196" t="s">
        <v>70</v>
      </c>
      <c r="E196">
        <v>6</v>
      </c>
      <c r="F196" t="s">
        <v>51</v>
      </c>
      <c r="G196">
        <v>45</v>
      </c>
      <c r="H196" t="str">
        <f t="shared" si="3"/>
        <v>High</v>
      </c>
    </row>
    <row r="197" spans="1:8" x14ac:dyDescent="0.3">
      <c r="A197" t="s">
        <v>418</v>
      </c>
      <c r="B197" s="3">
        <f>VLOOKUP(A197, appointment_data!A:G, 5, FALSE)</f>
        <v>45645</v>
      </c>
      <c r="C197" s="2">
        <f>VLOOKUP(A197, appointment_data!A:G, 6, FALSE)</f>
        <v>0.375</v>
      </c>
      <c r="D197" t="s">
        <v>864</v>
      </c>
      <c r="E197">
        <v>6.2849740929999998</v>
      </c>
      <c r="F197" t="s">
        <v>75</v>
      </c>
      <c r="G197">
        <v>41.479591839999998</v>
      </c>
      <c r="H197" t="str">
        <f t="shared" si="3"/>
        <v>High</v>
      </c>
    </row>
    <row r="198" spans="1:8" x14ac:dyDescent="0.3">
      <c r="A198" t="s">
        <v>420</v>
      </c>
      <c r="B198" s="3">
        <f>VLOOKUP(A198, appointment_data!A:G, 5, FALSE)</f>
        <v>45368</v>
      </c>
      <c r="C198" s="2">
        <f>VLOOKUP(A198, appointment_data!A:G, 6, FALSE)</f>
        <v>0.375</v>
      </c>
      <c r="D198" t="s">
        <v>65</v>
      </c>
      <c r="E198">
        <v>3</v>
      </c>
      <c r="F198" t="s">
        <v>13</v>
      </c>
      <c r="G198">
        <v>45</v>
      </c>
      <c r="H198" t="str">
        <f t="shared" si="3"/>
        <v>Low</v>
      </c>
    </row>
    <row r="199" spans="1:8" x14ac:dyDescent="0.3">
      <c r="A199" t="s">
        <v>422</v>
      </c>
      <c r="B199" s="3">
        <f>VLOOKUP(A199, appointment_data!A:G, 5, FALSE)</f>
        <v>45432</v>
      </c>
      <c r="C199" s="2">
        <f>VLOOKUP(A199, appointment_data!A:G, 6, FALSE)</f>
        <v>0.47916666666666669</v>
      </c>
      <c r="D199" t="s">
        <v>65</v>
      </c>
      <c r="E199">
        <v>9</v>
      </c>
      <c r="F199" t="s">
        <v>20</v>
      </c>
      <c r="G199">
        <v>30</v>
      </c>
      <c r="H199" t="str">
        <f t="shared" si="3"/>
        <v>High</v>
      </c>
    </row>
    <row r="200" spans="1:8" x14ac:dyDescent="0.3">
      <c r="A200" t="s">
        <v>424</v>
      </c>
      <c r="B200" s="3">
        <f>VLOOKUP(A200, appointment_data!A:G, 5, FALSE)</f>
        <v>45568</v>
      </c>
      <c r="C200" s="2">
        <f>VLOOKUP(A200, appointment_data!A:G, 6, FALSE)</f>
        <v>0.47916666666666669</v>
      </c>
      <c r="D200" t="s">
        <v>8</v>
      </c>
      <c r="E200">
        <v>5</v>
      </c>
      <c r="F200" t="s">
        <v>54</v>
      </c>
      <c r="G200">
        <v>45</v>
      </c>
      <c r="H200" t="str">
        <f t="shared" si="3"/>
        <v>High</v>
      </c>
    </row>
  </sheetData>
  <conditionalFormatting sqref="A1 D1:H1 A2:G200">
    <cfRule type="containsBlanks" dxfId="6" priority="3">
      <formula>LEN(TRIM(A1))=0</formula>
    </cfRule>
  </conditionalFormatting>
  <conditionalFormatting sqref="B1">
    <cfRule type="containsBlanks" dxfId="5" priority="2">
      <formula>LEN(TRIM(B1))=0</formula>
    </cfRule>
  </conditionalFormatting>
  <conditionalFormatting sqref="C1">
    <cfRule type="containsBlanks" dxfId="4" priority="1">
      <formula>LEN(TRIM(C1))=0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7673A-45CC-4210-9940-CA08E389E757}">
  <dimension ref="A1:G201"/>
  <sheetViews>
    <sheetView workbookViewId="0">
      <selection activeCell="K12" sqref="K12"/>
    </sheetView>
  </sheetViews>
  <sheetFormatPr defaultRowHeight="14.4" x14ac:dyDescent="0.3"/>
  <cols>
    <col min="1" max="1" width="10.77734375" bestFit="1" customWidth="1"/>
    <col min="2" max="2" width="15.6640625" bestFit="1" customWidth="1"/>
    <col min="3" max="3" width="8.44140625" bestFit="1" customWidth="1"/>
    <col min="4" max="4" width="15.33203125" bestFit="1" customWidth="1"/>
    <col min="5" max="5" width="10.33203125" style="1" bestFit="1" customWidth="1"/>
    <col min="6" max="6" width="8.77734375" style="2" bestFit="1" customWidth="1"/>
    <col min="7" max="7" width="11.21875" bestFit="1" customWidth="1"/>
  </cols>
  <sheetData>
    <row r="1" spans="1:7" x14ac:dyDescent="0.3">
      <c r="A1" t="s">
        <v>1</v>
      </c>
      <c r="B1" t="s">
        <v>425</v>
      </c>
      <c r="C1" t="s">
        <v>426</v>
      </c>
      <c r="D1" t="s">
        <v>2</v>
      </c>
      <c r="E1" s="1" t="s">
        <v>427</v>
      </c>
      <c r="F1" s="2" t="s">
        <v>428</v>
      </c>
      <c r="G1" t="s">
        <v>429</v>
      </c>
    </row>
    <row r="2" spans="1:7" x14ac:dyDescent="0.3">
      <c r="A2" t="s">
        <v>7</v>
      </c>
      <c r="B2" t="s">
        <v>864</v>
      </c>
      <c r="C2" t="s">
        <v>430</v>
      </c>
      <c r="D2" t="s">
        <v>8</v>
      </c>
      <c r="E2" s="1">
        <v>45292</v>
      </c>
      <c r="F2" s="2" t="s">
        <v>864</v>
      </c>
      <c r="G2" t="s">
        <v>864</v>
      </c>
    </row>
    <row r="3" spans="1:7" x14ac:dyDescent="0.3">
      <c r="A3" t="s">
        <v>11</v>
      </c>
      <c r="B3" t="s">
        <v>431</v>
      </c>
      <c r="C3" t="s">
        <v>432</v>
      </c>
      <c r="D3" t="s">
        <v>12</v>
      </c>
      <c r="E3" s="1">
        <v>45545</v>
      </c>
      <c r="F3" s="2">
        <v>0.54166666666666663</v>
      </c>
      <c r="G3" t="s">
        <v>433</v>
      </c>
    </row>
    <row r="4" spans="1:7" x14ac:dyDescent="0.3">
      <c r="A4" t="s">
        <v>15</v>
      </c>
      <c r="B4" t="s">
        <v>434</v>
      </c>
      <c r="C4" t="s">
        <v>435</v>
      </c>
      <c r="D4" t="s">
        <v>70</v>
      </c>
      <c r="E4" s="1">
        <v>45643</v>
      </c>
      <c r="F4" s="2">
        <v>0.625</v>
      </c>
      <c r="G4" t="s">
        <v>436</v>
      </c>
    </row>
    <row r="5" spans="1:7" x14ac:dyDescent="0.3">
      <c r="A5" t="s">
        <v>18</v>
      </c>
      <c r="B5" t="s">
        <v>437</v>
      </c>
      <c r="C5" t="s">
        <v>435</v>
      </c>
      <c r="D5" t="s">
        <v>19</v>
      </c>
      <c r="E5" s="1">
        <v>45482</v>
      </c>
      <c r="F5" s="2">
        <v>0.64583333333333337</v>
      </c>
      <c r="G5" t="s">
        <v>438</v>
      </c>
    </row>
    <row r="6" spans="1:7" x14ac:dyDescent="0.3">
      <c r="A6" t="s">
        <v>22</v>
      </c>
      <c r="B6" t="s">
        <v>439</v>
      </c>
      <c r="C6" t="s">
        <v>440</v>
      </c>
      <c r="D6" t="s">
        <v>23</v>
      </c>
      <c r="E6" s="1">
        <v>45516</v>
      </c>
      <c r="F6" s="2">
        <v>0.75</v>
      </c>
      <c r="G6" t="s">
        <v>441</v>
      </c>
    </row>
    <row r="7" spans="1:7" x14ac:dyDescent="0.3">
      <c r="A7" t="s">
        <v>26</v>
      </c>
      <c r="B7" t="s">
        <v>442</v>
      </c>
      <c r="C7" t="s">
        <v>432</v>
      </c>
      <c r="D7" t="s">
        <v>23</v>
      </c>
      <c r="E7" s="1">
        <v>45357</v>
      </c>
      <c r="F7" s="2">
        <v>0.72916666666666663</v>
      </c>
      <c r="G7" t="s">
        <v>438</v>
      </c>
    </row>
    <row r="8" spans="1:7" x14ac:dyDescent="0.3">
      <c r="A8" t="s">
        <v>29</v>
      </c>
      <c r="B8" t="s">
        <v>443</v>
      </c>
      <c r="C8" t="s">
        <v>444</v>
      </c>
      <c r="D8" t="s">
        <v>19</v>
      </c>
      <c r="E8" s="1">
        <v>45383</v>
      </c>
      <c r="F8" s="2">
        <v>0.45833333333333331</v>
      </c>
      <c r="G8" t="s">
        <v>433</v>
      </c>
    </row>
    <row r="9" spans="1:7" x14ac:dyDescent="0.3">
      <c r="A9" t="s">
        <v>31</v>
      </c>
      <c r="B9" t="s">
        <v>445</v>
      </c>
      <c r="C9" t="s">
        <v>446</v>
      </c>
      <c r="D9" t="s">
        <v>19</v>
      </c>
      <c r="E9" s="1">
        <v>45581</v>
      </c>
      <c r="F9" s="2">
        <v>0.625</v>
      </c>
      <c r="G9" t="s">
        <v>433</v>
      </c>
    </row>
    <row r="10" spans="1:7" x14ac:dyDescent="0.3">
      <c r="A10" t="s">
        <v>34</v>
      </c>
      <c r="B10" t="s">
        <v>447</v>
      </c>
      <c r="C10" t="s">
        <v>448</v>
      </c>
      <c r="D10" t="s">
        <v>8</v>
      </c>
      <c r="E10" s="1">
        <v>45558</v>
      </c>
      <c r="F10" s="2">
        <v>0.64583333333333337</v>
      </c>
      <c r="G10" t="s">
        <v>436</v>
      </c>
    </row>
    <row r="11" spans="1:7" x14ac:dyDescent="0.3">
      <c r="A11" t="s">
        <v>36</v>
      </c>
      <c r="B11" t="s">
        <v>449</v>
      </c>
      <c r="C11" t="s">
        <v>450</v>
      </c>
      <c r="D11" t="s">
        <v>12</v>
      </c>
      <c r="E11" s="1">
        <v>45395</v>
      </c>
      <c r="F11" s="2">
        <v>0.5625</v>
      </c>
      <c r="G11" t="s">
        <v>438</v>
      </c>
    </row>
    <row r="12" spans="1:7" x14ac:dyDescent="0.3">
      <c r="A12" t="s">
        <v>38</v>
      </c>
      <c r="B12" t="s">
        <v>451</v>
      </c>
      <c r="C12" t="s">
        <v>452</v>
      </c>
      <c r="D12" t="s">
        <v>12</v>
      </c>
      <c r="E12" s="1">
        <v>45460</v>
      </c>
      <c r="F12" s="2">
        <v>0.35416666666666669</v>
      </c>
      <c r="G12" t="s">
        <v>433</v>
      </c>
    </row>
    <row r="13" spans="1:7" x14ac:dyDescent="0.3">
      <c r="A13" t="s">
        <v>41</v>
      </c>
      <c r="B13" t="s">
        <v>453</v>
      </c>
      <c r="C13" t="s">
        <v>454</v>
      </c>
      <c r="D13" t="s">
        <v>12</v>
      </c>
      <c r="E13" s="1">
        <v>45519</v>
      </c>
      <c r="F13" s="2">
        <v>0.64583333333333337</v>
      </c>
      <c r="G13" t="s">
        <v>433</v>
      </c>
    </row>
    <row r="14" spans="1:7" x14ac:dyDescent="0.3">
      <c r="A14" t="s">
        <v>44</v>
      </c>
      <c r="B14" t="s">
        <v>864</v>
      </c>
      <c r="C14" t="s">
        <v>432</v>
      </c>
      <c r="D14" t="s">
        <v>23</v>
      </c>
      <c r="E14" s="1">
        <v>45305</v>
      </c>
      <c r="F14" s="2" t="s">
        <v>864</v>
      </c>
      <c r="G14" t="s">
        <v>441</v>
      </c>
    </row>
    <row r="15" spans="1:7" x14ac:dyDescent="0.3">
      <c r="A15" t="s">
        <v>46</v>
      </c>
      <c r="B15" t="s">
        <v>455</v>
      </c>
      <c r="C15" t="s">
        <v>440</v>
      </c>
      <c r="D15" t="s">
        <v>8</v>
      </c>
      <c r="E15" s="1">
        <v>45344</v>
      </c>
      <c r="F15" s="2">
        <v>0.33333333333333331</v>
      </c>
      <c r="G15" t="s">
        <v>436</v>
      </c>
    </row>
    <row r="16" spans="1:7" x14ac:dyDescent="0.3">
      <c r="A16" t="s">
        <v>48</v>
      </c>
      <c r="B16" t="s">
        <v>456</v>
      </c>
      <c r="C16" t="s">
        <v>457</v>
      </c>
      <c r="D16" t="s">
        <v>12</v>
      </c>
      <c r="E16" s="1">
        <v>45311</v>
      </c>
      <c r="F16" s="2">
        <v>0.75</v>
      </c>
      <c r="G16" t="s">
        <v>438</v>
      </c>
    </row>
    <row r="17" spans="1:7" x14ac:dyDescent="0.3">
      <c r="A17" t="s">
        <v>50</v>
      </c>
      <c r="B17" t="s">
        <v>458</v>
      </c>
      <c r="C17" t="s">
        <v>450</v>
      </c>
      <c r="D17" t="s">
        <v>19</v>
      </c>
      <c r="E17" s="1">
        <v>45589</v>
      </c>
      <c r="F17" s="2">
        <v>0.625</v>
      </c>
      <c r="G17" t="s">
        <v>436</v>
      </c>
    </row>
    <row r="18" spans="1:7" x14ac:dyDescent="0.3">
      <c r="A18" t="s">
        <v>53</v>
      </c>
      <c r="B18" t="s">
        <v>459</v>
      </c>
      <c r="C18" t="s">
        <v>440</v>
      </c>
      <c r="D18" t="s">
        <v>19</v>
      </c>
      <c r="E18" s="1">
        <v>45615</v>
      </c>
      <c r="F18" s="2">
        <v>0.60416666666666663</v>
      </c>
      <c r="G18" t="s">
        <v>436</v>
      </c>
    </row>
    <row r="19" spans="1:7" x14ac:dyDescent="0.3">
      <c r="A19" t="s">
        <v>56</v>
      </c>
      <c r="B19" t="s">
        <v>460</v>
      </c>
      <c r="C19" t="s">
        <v>452</v>
      </c>
      <c r="D19" t="s">
        <v>23</v>
      </c>
      <c r="E19" s="1">
        <v>45521</v>
      </c>
      <c r="F19" s="2">
        <v>0.66666666666666663</v>
      </c>
      <c r="G19" t="s">
        <v>441</v>
      </c>
    </row>
    <row r="20" spans="1:7" x14ac:dyDescent="0.3">
      <c r="A20" t="s">
        <v>59</v>
      </c>
      <c r="B20" t="s">
        <v>461</v>
      </c>
      <c r="C20" t="s">
        <v>457</v>
      </c>
      <c r="D20" t="s">
        <v>19</v>
      </c>
      <c r="E20" s="1">
        <v>45476</v>
      </c>
      <c r="F20" s="2">
        <v>0.75</v>
      </c>
      <c r="G20" t="s">
        <v>438</v>
      </c>
    </row>
    <row r="21" spans="1:7" x14ac:dyDescent="0.3">
      <c r="A21" t="s">
        <v>62</v>
      </c>
      <c r="B21" t="s">
        <v>462</v>
      </c>
      <c r="C21" t="s">
        <v>463</v>
      </c>
      <c r="D21" t="s">
        <v>8</v>
      </c>
      <c r="E21" s="1">
        <v>45652</v>
      </c>
      <c r="F21" s="2">
        <v>0.52083333333333337</v>
      </c>
      <c r="G21" t="s">
        <v>441</v>
      </c>
    </row>
    <row r="22" spans="1:7" x14ac:dyDescent="0.3">
      <c r="A22" t="s">
        <v>64</v>
      </c>
      <c r="B22" t="s">
        <v>464</v>
      </c>
      <c r="C22" t="s">
        <v>465</v>
      </c>
      <c r="D22" t="s">
        <v>65</v>
      </c>
      <c r="E22" s="1">
        <v>45640</v>
      </c>
      <c r="F22" s="2">
        <v>0.54166666666666663</v>
      </c>
      <c r="G22" t="s">
        <v>441</v>
      </c>
    </row>
    <row r="23" spans="1:7" x14ac:dyDescent="0.3">
      <c r="A23" t="s">
        <v>67</v>
      </c>
      <c r="B23" t="s">
        <v>466</v>
      </c>
      <c r="C23" t="s">
        <v>467</v>
      </c>
      <c r="D23" t="s">
        <v>23</v>
      </c>
      <c r="E23" s="1">
        <v>45635</v>
      </c>
      <c r="F23" s="2">
        <v>0.39583333333333331</v>
      </c>
      <c r="G23" t="s">
        <v>438</v>
      </c>
    </row>
    <row r="24" spans="1:7" x14ac:dyDescent="0.3">
      <c r="A24" t="s">
        <v>69</v>
      </c>
      <c r="B24" t="s">
        <v>468</v>
      </c>
      <c r="C24" t="s">
        <v>450</v>
      </c>
      <c r="D24" t="s">
        <v>70</v>
      </c>
      <c r="E24" s="1">
        <v>45644</v>
      </c>
      <c r="F24" s="2">
        <v>0.41666666666666669</v>
      </c>
      <c r="G24" t="s">
        <v>433</v>
      </c>
    </row>
    <row r="25" spans="1:7" x14ac:dyDescent="0.3">
      <c r="A25" t="s">
        <v>72</v>
      </c>
      <c r="B25" t="s">
        <v>469</v>
      </c>
      <c r="C25" t="s">
        <v>470</v>
      </c>
      <c r="D25" t="s">
        <v>70</v>
      </c>
      <c r="E25" s="1">
        <v>45641</v>
      </c>
      <c r="F25" s="2">
        <v>0.75</v>
      </c>
      <c r="G25" t="s">
        <v>438</v>
      </c>
    </row>
    <row r="26" spans="1:7" x14ac:dyDescent="0.3">
      <c r="A26" t="s">
        <v>74</v>
      </c>
      <c r="B26" t="s">
        <v>864</v>
      </c>
      <c r="C26" t="s">
        <v>471</v>
      </c>
      <c r="D26" t="s">
        <v>70</v>
      </c>
      <c r="E26" s="1" t="s">
        <v>864</v>
      </c>
      <c r="F26" s="2">
        <v>0.54166666666666663</v>
      </c>
      <c r="G26" t="s">
        <v>864</v>
      </c>
    </row>
    <row r="27" spans="1:7" x14ac:dyDescent="0.3">
      <c r="A27" t="s">
        <v>77</v>
      </c>
      <c r="B27" t="s">
        <v>472</v>
      </c>
      <c r="C27" t="s">
        <v>467</v>
      </c>
      <c r="D27" t="s">
        <v>23</v>
      </c>
      <c r="E27" s="1">
        <v>45558</v>
      </c>
      <c r="F27" s="2">
        <v>0.75</v>
      </c>
      <c r="G27" t="s">
        <v>436</v>
      </c>
    </row>
    <row r="28" spans="1:7" x14ac:dyDescent="0.3">
      <c r="A28" t="s">
        <v>79</v>
      </c>
      <c r="B28" t="s">
        <v>473</v>
      </c>
      <c r="C28" t="s">
        <v>474</v>
      </c>
      <c r="D28" t="s">
        <v>12</v>
      </c>
      <c r="E28" s="1">
        <v>45486</v>
      </c>
      <c r="F28" s="2">
        <v>0.77083333333333337</v>
      </c>
      <c r="G28" t="s">
        <v>441</v>
      </c>
    </row>
    <row r="29" spans="1:7" x14ac:dyDescent="0.3">
      <c r="A29" t="s">
        <v>81</v>
      </c>
      <c r="B29" t="s">
        <v>475</v>
      </c>
      <c r="C29" t="s">
        <v>476</v>
      </c>
      <c r="D29" t="s">
        <v>23</v>
      </c>
      <c r="E29" s="1">
        <v>45322</v>
      </c>
      <c r="F29" s="2">
        <v>0.75</v>
      </c>
      <c r="G29" t="s">
        <v>433</v>
      </c>
    </row>
    <row r="30" spans="1:7" x14ac:dyDescent="0.3">
      <c r="A30" t="s">
        <v>83</v>
      </c>
      <c r="B30" t="s">
        <v>477</v>
      </c>
      <c r="C30" t="s">
        <v>452</v>
      </c>
      <c r="D30" t="s">
        <v>23</v>
      </c>
      <c r="E30" s="1">
        <v>45520</v>
      </c>
      <c r="F30" s="2">
        <v>0.66666666666666663</v>
      </c>
      <c r="G30" t="s">
        <v>441</v>
      </c>
    </row>
    <row r="31" spans="1:7" x14ac:dyDescent="0.3">
      <c r="A31" t="s">
        <v>85</v>
      </c>
      <c r="B31" t="s">
        <v>478</v>
      </c>
      <c r="C31" t="s">
        <v>479</v>
      </c>
      <c r="D31" t="s">
        <v>19</v>
      </c>
      <c r="E31" s="1">
        <v>45622</v>
      </c>
      <c r="F31" s="2">
        <v>0.41666666666666669</v>
      </c>
      <c r="G31" t="s">
        <v>433</v>
      </c>
    </row>
    <row r="32" spans="1:7" x14ac:dyDescent="0.3">
      <c r="A32" t="s">
        <v>87</v>
      </c>
      <c r="B32" t="s">
        <v>480</v>
      </c>
      <c r="C32" t="s">
        <v>474</v>
      </c>
      <c r="D32" t="s">
        <v>70</v>
      </c>
      <c r="E32" s="1">
        <v>45642</v>
      </c>
      <c r="F32" s="2">
        <v>0.35416666666666669</v>
      </c>
      <c r="G32" t="s">
        <v>438</v>
      </c>
    </row>
    <row r="33" spans="1:7" x14ac:dyDescent="0.3">
      <c r="A33" t="s">
        <v>89</v>
      </c>
      <c r="B33" t="s">
        <v>481</v>
      </c>
      <c r="C33" t="s">
        <v>482</v>
      </c>
      <c r="D33" t="s">
        <v>12</v>
      </c>
      <c r="E33" s="1">
        <v>45384</v>
      </c>
      <c r="F33" s="2">
        <v>0.72916666666666663</v>
      </c>
      <c r="G33" t="s">
        <v>433</v>
      </c>
    </row>
    <row r="34" spans="1:7" x14ac:dyDescent="0.3">
      <c r="A34" t="s">
        <v>91</v>
      </c>
      <c r="B34" t="s">
        <v>483</v>
      </c>
      <c r="C34" t="s">
        <v>482</v>
      </c>
      <c r="D34" t="s">
        <v>65</v>
      </c>
      <c r="E34" s="1">
        <v>45446</v>
      </c>
      <c r="F34" s="2">
        <v>0.64583333333333337</v>
      </c>
      <c r="G34" t="s">
        <v>438</v>
      </c>
    </row>
    <row r="35" spans="1:7" x14ac:dyDescent="0.3">
      <c r="A35" t="s">
        <v>93</v>
      </c>
      <c r="B35" t="s">
        <v>484</v>
      </c>
      <c r="C35" t="s">
        <v>485</v>
      </c>
      <c r="D35" t="s">
        <v>19</v>
      </c>
      <c r="E35" s="1">
        <v>45383</v>
      </c>
      <c r="F35" s="2">
        <v>0.41666666666666669</v>
      </c>
      <c r="G35" t="s">
        <v>441</v>
      </c>
    </row>
    <row r="36" spans="1:7" x14ac:dyDescent="0.3">
      <c r="A36" t="s">
        <v>95</v>
      </c>
      <c r="B36" t="s">
        <v>486</v>
      </c>
      <c r="C36" t="s">
        <v>430</v>
      </c>
      <c r="D36" t="s">
        <v>65</v>
      </c>
      <c r="E36" s="1">
        <v>45646</v>
      </c>
      <c r="F36" s="2">
        <v>0.5625</v>
      </c>
      <c r="G36" t="s">
        <v>433</v>
      </c>
    </row>
    <row r="37" spans="1:7" x14ac:dyDescent="0.3">
      <c r="A37" t="s">
        <v>97</v>
      </c>
      <c r="B37" t="s">
        <v>487</v>
      </c>
      <c r="C37" t="s">
        <v>435</v>
      </c>
      <c r="D37" t="s">
        <v>12</v>
      </c>
      <c r="E37" s="1">
        <v>45647</v>
      </c>
      <c r="F37" s="2">
        <v>0.6875</v>
      </c>
      <c r="G37" t="s">
        <v>433</v>
      </c>
    </row>
    <row r="38" spans="1:7" x14ac:dyDescent="0.3">
      <c r="A38" t="s">
        <v>99</v>
      </c>
      <c r="B38" t="s">
        <v>488</v>
      </c>
      <c r="C38" t="s">
        <v>467</v>
      </c>
      <c r="D38" t="s">
        <v>70</v>
      </c>
      <c r="E38" s="1">
        <v>45416</v>
      </c>
      <c r="F38" s="2">
        <v>0.6875</v>
      </c>
      <c r="G38" t="s">
        <v>436</v>
      </c>
    </row>
    <row r="39" spans="1:7" x14ac:dyDescent="0.3">
      <c r="A39" t="s">
        <v>101</v>
      </c>
      <c r="B39" t="s">
        <v>489</v>
      </c>
      <c r="C39" t="s">
        <v>450</v>
      </c>
      <c r="D39" t="s">
        <v>70</v>
      </c>
      <c r="E39" s="1">
        <v>45387</v>
      </c>
      <c r="F39" s="2">
        <v>0.35416666666666669</v>
      </c>
      <c r="G39" t="s">
        <v>436</v>
      </c>
    </row>
    <row r="40" spans="1:7" x14ac:dyDescent="0.3">
      <c r="A40" t="s">
        <v>103</v>
      </c>
      <c r="B40" t="s">
        <v>864</v>
      </c>
      <c r="C40" t="s">
        <v>864</v>
      </c>
      <c r="D40" t="s">
        <v>70</v>
      </c>
      <c r="E40" s="1">
        <v>45372</v>
      </c>
      <c r="F40" s="2">
        <v>0.54166666666666663</v>
      </c>
      <c r="G40" t="s">
        <v>864</v>
      </c>
    </row>
    <row r="41" spans="1:7" x14ac:dyDescent="0.3">
      <c r="A41" t="s">
        <v>105</v>
      </c>
      <c r="B41" t="s">
        <v>490</v>
      </c>
      <c r="C41" t="s">
        <v>479</v>
      </c>
      <c r="D41" t="s">
        <v>23</v>
      </c>
      <c r="E41" s="1">
        <v>45605</v>
      </c>
      <c r="F41" s="2">
        <v>0.5625</v>
      </c>
      <c r="G41" t="s">
        <v>438</v>
      </c>
    </row>
    <row r="42" spans="1:7" x14ac:dyDescent="0.3">
      <c r="A42" t="s">
        <v>108</v>
      </c>
      <c r="B42" t="s">
        <v>491</v>
      </c>
      <c r="C42" t="s">
        <v>440</v>
      </c>
      <c r="D42" t="s">
        <v>23</v>
      </c>
      <c r="E42" s="1">
        <v>45378</v>
      </c>
      <c r="F42" s="2">
        <v>0.70833333333333337</v>
      </c>
      <c r="G42" t="s">
        <v>436</v>
      </c>
    </row>
    <row r="43" spans="1:7" x14ac:dyDescent="0.3">
      <c r="A43" t="s">
        <v>110</v>
      </c>
      <c r="B43" t="s">
        <v>492</v>
      </c>
      <c r="C43" t="s">
        <v>493</v>
      </c>
      <c r="D43" t="s">
        <v>19</v>
      </c>
      <c r="E43" s="1">
        <v>45506</v>
      </c>
      <c r="F43" s="2">
        <v>0.52083333333333337</v>
      </c>
      <c r="G43" t="s">
        <v>438</v>
      </c>
    </row>
    <row r="44" spans="1:7" x14ac:dyDescent="0.3">
      <c r="A44" t="s">
        <v>112</v>
      </c>
      <c r="B44" t="s">
        <v>494</v>
      </c>
      <c r="C44" t="s">
        <v>495</v>
      </c>
      <c r="D44" t="s">
        <v>19</v>
      </c>
      <c r="E44" s="1">
        <v>45507</v>
      </c>
      <c r="F44" s="2">
        <v>0.77083333333333337</v>
      </c>
      <c r="G44" t="s">
        <v>441</v>
      </c>
    </row>
    <row r="45" spans="1:7" x14ac:dyDescent="0.3">
      <c r="A45" t="s">
        <v>114</v>
      </c>
      <c r="B45" t="s">
        <v>496</v>
      </c>
      <c r="C45" t="s">
        <v>497</v>
      </c>
      <c r="D45" t="s">
        <v>8</v>
      </c>
      <c r="E45" s="1">
        <v>45585</v>
      </c>
      <c r="F45" s="2">
        <v>0.39583333333333331</v>
      </c>
      <c r="G45" t="s">
        <v>441</v>
      </c>
    </row>
    <row r="46" spans="1:7" x14ac:dyDescent="0.3">
      <c r="A46" t="s">
        <v>116</v>
      </c>
      <c r="B46" t="s">
        <v>498</v>
      </c>
      <c r="C46" t="s">
        <v>499</v>
      </c>
      <c r="D46" t="s">
        <v>12</v>
      </c>
      <c r="E46" s="1">
        <v>45313</v>
      </c>
      <c r="F46" s="2">
        <v>0.66666666666666663</v>
      </c>
      <c r="G46" t="s">
        <v>433</v>
      </c>
    </row>
    <row r="47" spans="1:7" x14ac:dyDescent="0.3">
      <c r="A47" t="s">
        <v>118</v>
      </c>
      <c r="B47" t="s">
        <v>500</v>
      </c>
      <c r="C47" t="s">
        <v>444</v>
      </c>
      <c r="D47" t="s">
        <v>12</v>
      </c>
      <c r="E47" s="1">
        <v>45347</v>
      </c>
      <c r="F47" s="2">
        <v>0.39583333333333331</v>
      </c>
      <c r="G47" t="s">
        <v>441</v>
      </c>
    </row>
    <row r="48" spans="1:7" x14ac:dyDescent="0.3">
      <c r="A48" t="s">
        <v>120</v>
      </c>
      <c r="B48" t="s">
        <v>501</v>
      </c>
      <c r="C48" t="s">
        <v>470</v>
      </c>
      <c r="D48" t="s">
        <v>19</v>
      </c>
      <c r="E48" s="1">
        <v>45466</v>
      </c>
      <c r="F48" s="2">
        <v>0.41666666666666669</v>
      </c>
      <c r="G48" t="s">
        <v>441</v>
      </c>
    </row>
    <row r="49" spans="1:7" x14ac:dyDescent="0.3">
      <c r="A49" t="s">
        <v>122</v>
      </c>
      <c r="B49" t="s">
        <v>502</v>
      </c>
      <c r="C49" t="s">
        <v>503</v>
      </c>
      <c r="D49" t="s">
        <v>65</v>
      </c>
      <c r="E49" s="1">
        <v>45350</v>
      </c>
      <c r="F49" s="2">
        <v>0.77083333333333337</v>
      </c>
      <c r="G49" t="s">
        <v>441</v>
      </c>
    </row>
    <row r="50" spans="1:7" x14ac:dyDescent="0.3">
      <c r="A50" t="s">
        <v>124</v>
      </c>
      <c r="B50" t="s">
        <v>504</v>
      </c>
      <c r="C50" t="s">
        <v>450</v>
      </c>
      <c r="D50" t="s">
        <v>19</v>
      </c>
      <c r="E50" s="1">
        <v>45590</v>
      </c>
      <c r="F50" s="2">
        <v>0.75</v>
      </c>
      <c r="G50" t="s">
        <v>433</v>
      </c>
    </row>
    <row r="51" spans="1:7" x14ac:dyDescent="0.3">
      <c r="A51" t="s">
        <v>126</v>
      </c>
      <c r="B51" t="s">
        <v>505</v>
      </c>
      <c r="C51" t="s">
        <v>497</v>
      </c>
      <c r="D51" t="s">
        <v>23</v>
      </c>
      <c r="E51" s="1">
        <v>45324</v>
      </c>
      <c r="F51" s="2">
        <v>0.39583333333333331</v>
      </c>
      <c r="G51" t="s">
        <v>433</v>
      </c>
    </row>
    <row r="52" spans="1:7" x14ac:dyDescent="0.3">
      <c r="A52" t="s">
        <v>128</v>
      </c>
      <c r="B52" t="s">
        <v>506</v>
      </c>
      <c r="C52" t="s">
        <v>493</v>
      </c>
      <c r="D52" t="s">
        <v>12</v>
      </c>
      <c r="E52" s="1">
        <v>45630</v>
      </c>
      <c r="F52" s="2">
        <v>0.45833333333333331</v>
      </c>
      <c r="G52" t="s">
        <v>438</v>
      </c>
    </row>
    <row r="53" spans="1:7" x14ac:dyDescent="0.3">
      <c r="A53" t="s">
        <v>130</v>
      </c>
      <c r="B53" t="s">
        <v>507</v>
      </c>
      <c r="C53" t="s">
        <v>474</v>
      </c>
      <c r="D53" t="s">
        <v>8</v>
      </c>
      <c r="E53" s="1">
        <v>45482</v>
      </c>
      <c r="F53" s="2">
        <v>0.5</v>
      </c>
      <c r="G53" t="s">
        <v>438</v>
      </c>
    </row>
    <row r="54" spans="1:7" x14ac:dyDescent="0.3">
      <c r="A54" t="s">
        <v>132</v>
      </c>
      <c r="B54" t="s">
        <v>508</v>
      </c>
      <c r="C54" t="s">
        <v>430</v>
      </c>
      <c r="D54" t="s">
        <v>8</v>
      </c>
      <c r="E54" s="1">
        <v>45370</v>
      </c>
      <c r="F54" s="2">
        <v>0.75</v>
      </c>
      <c r="G54" t="s">
        <v>436</v>
      </c>
    </row>
    <row r="55" spans="1:7" x14ac:dyDescent="0.3">
      <c r="A55" t="s">
        <v>134</v>
      </c>
      <c r="B55" t="s">
        <v>509</v>
      </c>
      <c r="C55" t="s">
        <v>503</v>
      </c>
      <c r="D55" t="s">
        <v>8</v>
      </c>
      <c r="E55" s="1">
        <v>45362</v>
      </c>
      <c r="F55" s="2">
        <v>0.64583333333333337</v>
      </c>
      <c r="G55" t="s">
        <v>441</v>
      </c>
    </row>
    <row r="56" spans="1:7" x14ac:dyDescent="0.3">
      <c r="A56" t="s">
        <v>136</v>
      </c>
      <c r="B56" t="s">
        <v>864</v>
      </c>
      <c r="C56" t="s">
        <v>499</v>
      </c>
      <c r="D56" t="s">
        <v>19</v>
      </c>
      <c r="E56" s="1" t="s">
        <v>864</v>
      </c>
      <c r="F56" s="2" t="s">
        <v>864</v>
      </c>
      <c r="G56" t="s">
        <v>864</v>
      </c>
    </row>
    <row r="57" spans="1:7" x14ac:dyDescent="0.3">
      <c r="A57" t="s">
        <v>138</v>
      </c>
      <c r="B57" t="s">
        <v>510</v>
      </c>
      <c r="C57" t="s">
        <v>463</v>
      </c>
      <c r="D57" t="s">
        <v>65</v>
      </c>
      <c r="E57" s="1">
        <v>45556</v>
      </c>
      <c r="F57" s="2">
        <v>0.6875</v>
      </c>
      <c r="G57" t="s">
        <v>433</v>
      </c>
    </row>
    <row r="58" spans="1:7" x14ac:dyDescent="0.3">
      <c r="A58" t="s">
        <v>140</v>
      </c>
      <c r="B58" t="s">
        <v>511</v>
      </c>
      <c r="C58" t="s">
        <v>512</v>
      </c>
      <c r="D58" t="s">
        <v>19</v>
      </c>
      <c r="E58" s="1">
        <v>45551</v>
      </c>
      <c r="F58" s="2">
        <v>0.64583333333333337</v>
      </c>
      <c r="G58" t="s">
        <v>441</v>
      </c>
    </row>
    <row r="59" spans="1:7" x14ac:dyDescent="0.3">
      <c r="A59" t="s">
        <v>142</v>
      </c>
      <c r="B59" t="s">
        <v>513</v>
      </c>
      <c r="C59" t="s">
        <v>479</v>
      </c>
      <c r="D59" t="s">
        <v>70</v>
      </c>
      <c r="E59" s="1">
        <v>45585</v>
      </c>
      <c r="F59" s="2">
        <v>0.75</v>
      </c>
      <c r="G59" t="s">
        <v>441</v>
      </c>
    </row>
    <row r="60" spans="1:7" x14ac:dyDescent="0.3">
      <c r="A60" t="s">
        <v>144</v>
      </c>
      <c r="B60" t="s">
        <v>514</v>
      </c>
      <c r="C60" t="s">
        <v>457</v>
      </c>
      <c r="D60" t="s">
        <v>65</v>
      </c>
      <c r="E60" s="1">
        <v>45517</v>
      </c>
      <c r="F60" s="2">
        <v>0.75</v>
      </c>
      <c r="G60" t="s">
        <v>433</v>
      </c>
    </row>
    <row r="61" spans="1:7" x14ac:dyDescent="0.3">
      <c r="A61" t="s">
        <v>146</v>
      </c>
      <c r="B61" t="s">
        <v>515</v>
      </c>
      <c r="C61" t="s">
        <v>457</v>
      </c>
      <c r="D61" t="s">
        <v>19</v>
      </c>
      <c r="E61" s="1">
        <v>45623</v>
      </c>
      <c r="F61" s="2">
        <v>0.375</v>
      </c>
      <c r="G61" t="s">
        <v>436</v>
      </c>
    </row>
    <row r="62" spans="1:7" x14ac:dyDescent="0.3">
      <c r="A62" t="s">
        <v>148</v>
      </c>
      <c r="B62" t="s">
        <v>516</v>
      </c>
      <c r="C62" t="s">
        <v>432</v>
      </c>
      <c r="D62" t="s">
        <v>19</v>
      </c>
      <c r="E62" s="1">
        <v>45298</v>
      </c>
      <c r="F62" s="2">
        <v>0.66666666666666663</v>
      </c>
      <c r="G62" t="s">
        <v>433</v>
      </c>
    </row>
    <row r="63" spans="1:7" x14ac:dyDescent="0.3">
      <c r="A63" t="s">
        <v>150</v>
      </c>
      <c r="B63" t="s">
        <v>517</v>
      </c>
      <c r="C63" t="s">
        <v>512</v>
      </c>
      <c r="D63" t="s">
        <v>65</v>
      </c>
      <c r="E63" s="1">
        <v>45350</v>
      </c>
      <c r="F63" s="2">
        <v>0.47916666666666669</v>
      </c>
      <c r="G63" t="s">
        <v>433</v>
      </c>
    </row>
    <row r="64" spans="1:7" x14ac:dyDescent="0.3">
      <c r="A64" t="s">
        <v>152</v>
      </c>
      <c r="B64" t="s">
        <v>518</v>
      </c>
      <c r="C64" t="s">
        <v>471</v>
      </c>
      <c r="D64" t="s">
        <v>8</v>
      </c>
      <c r="E64" s="1">
        <v>45545</v>
      </c>
      <c r="F64" s="2">
        <v>0.72916666666666663</v>
      </c>
      <c r="G64" t="s">
        <v>441</v>
      </c>
    </row>
    <row r="65" spans="1:7" x14ac:dyDescent="0.3">
      <c r="A65" t="s">
        <v>154</v>
      </c>
      <c r="B65" t="s">
        <v>519</v>
      </c>
      <c r="C65" t="s">
        <v>435</v>
      </c>
      <c r="D65" t="s">
        <v>19</v>
      </c>
      <c r="E65" s="1">
        <v>45648</v>
      </c>
      <c r="F65" s="2">
        <v>0.45833333333333331</v>
      </c>
      <c r="G65" t="s">
        <v>438</v>
      </c>
    </row>
    <row r="66" spans="1:7" x14ac:dyDescent="0.3">
      <c r="A66" t="s">
        <v>156</v>
      </c>
      <c r="B66" t="s">
        <v>520</v>
      </c>
      <c r="C66" t="s">
        <v>503</v>
      </c>
      <c r="D66" t="s">
        <v>70</v>
      </c>
      <c r="E66" s="1">
        <v>45307</v>
      </c>
      <c r="F66" s="2">
        <v>0.77083333333333337</v>
      </c>
      <c r="G66" t="s">
        <v>438</v>
      </c>
    </row>
    <row r="67" spans="1:7" x14ac:dyDescent="0.3">
      <c r="A67" t="s">
        <v>158</v>
      </c>
      <c r="B67" t="s">
        <v>864</v>
      </c>
      <c r="C67" t="s">
        <v>521</v>
      </c>
      <c r="D67" t="s">
        <v>65</v>
      </c>
      <c r="E67" s="1">
        <v>45292</v>
      </c>
      <c r="F67" s="2" t="s">
        <v>864</v>
      </c>
      <c r="G67" t="s">
        <v>864</v>
      </c>
    </row>
    <row r="68" spans="1:7" x14ac:dyDescent="0.3">
      <c r="A68" t="s">
        <v>160</v>
      </c>
      <c r="B68" t="s">
        <v>522</v>
      </c>
      <c r="C68" t="s">
        <v>467</v>
      </c>
      <c r="D68" t="s">
        <v>70</v>
      </c>
      <c r="E68" s="1">
        <v>45617</v>
      </c>
      <c r="F68" s="2">
        <v>0.6875</v>
      </c>
      <c r="G68" t="s">
        <v>441</v>
      </c>
    </row>
    <row r="69" spans="1:7" x14ac:dyDescent="0.3">
      <c r="A69" t="s">
        <v>162</v>
      </c>
      <c r="B69" t="s">
        <v>523</v>
      </c>
      <c r="C69" t="s">
        <v>432</v>
      </c>
      <c r="D69" t="s">
        <v>65</v>
      </c>
      <c r="E69" s="1">
        <v>45387</v>
      </c>
      <c r="F69" s="2">
        <v>0.5</v>
      </c>
      <c r="G69" t="s">
        <v>436</v>
      </c>
    </row>
    <row r="70" spans="1:7" x14ac:dyDescent="0.3">
      <c r="A70" t="s">
        <v>164</v>
      </c>
      <c r="B70" t="s">
        <v>524</v>
      </c>
      <c r="C70" t="s">
        <v>474</v>
      </c>
      <c r="D70" t="s">
        <v>70</v>
      </c>
      <c r="E70" s="1">
        <v>45485</v>
      </c>
      <c r="F70" s="2">
        <v>0.70833333333333337</v>
      </c>
      <c r="G70" t="s">
        <v>433</v>
      </c>
    </row>
    <row r="71" spans="1:7" x14ac:dyDescent="0.3">
      <c r="A71" t="s">
        <v>166</v>
      </c>
      <c r="B71" t="s">
        <v>525</v>
      </c>
      <c r="C71" t="s">
        <v>454</v>
      </c>
      <c r="D71" t="s">
        <v>8</v>
      </c>
      <c r="E71" s="1">
        <v>45410</v>
      </c>
      <c r="F71" s="2">
        <v>0.77083333333333337</v>
      </c>
      <c r="G71" t="s">
        <v>433</v>
      </c>
    </row>
    <row r="72" spans="1:7" x14ac:dyDescent="0.3">
      <c r="A72" t="s">
        <v>168</v>
      </c>
      <c r="B72" t="s">
        <v>526</v>
      </c>
      <c r="C72" t="s">
        <v>448</v>
      </c>
      <c r="D72" t="s">
        <v>19</v>
      </c>
      <c r="E72" s="1">
        <v>45457</v>
      </c>
      <c r="F72" s="2">
        <v>0.33333333333333331</v>
      </c>
      <c r="G72" t="s">
        <v>438</v>
      </c>
    </row>
    <row r="73" spans="1:7" x14ac:dyDescent="0.3">
      <c r="A73" t="s">
        <v>170</v>
      </c>
      <c r="B73" t="s">
        <v>527</v>
      </c>
      <c r="C73" t="s">
        <v>485</v>
      </c>
      <c r="D73" t="s">
        <v>12</v>
      </c>
      <c r="E73" s="1">
        <v>45407</v>
      </c>
      <c r="F73" s="2">
        <v>0.75</v>
      </c>
      <c r="G73" t="s">
        <v>433</v>
      </c>
    </row>
    <row r="74" spans="1:7" x14ac:dyDescent="0.3">
      <c r="A74" t="s">
        <v>172</v>
      </c>
      <c r="B74" t="s">
        <v>528</v>
      </c>
      <c r="C74" t="s">
        <v>454</v>
      </c>
      <c r="D74" t="s">
        <v>19</v>
      </c>
      <c r="E74" s="1">
        <v>45416</v>
      </c>
      <c r="F74" s="2">
        <v>0.47916666666666669</v>
      </c>
      <c r="G74" t="s">
        <v>438</v>
      </c>
    </row>
    <row r="75" spans="1:7" x14ac:dyDescent="0.3">
      <c r="A75" t="s">
        <v>174</v>
      </c>
      <c r="B75" t="s">
        <v>529</v>
      </c>
      <c r="C75" t="s">
        <v>482</v>
      </c>
      <c r="D75" t="s">
        <v>23</v>
      </c>
      <c r="E75" s="1">
        <v>45493</v>
      </c>
      <c r="F75" s="2">
        <v>0.77083333333333337</v>
      </c>
      <c r="G75" t="s">
        <v>436</v>
      </c>
    </row>
    <row r="76" spans="1:7" x14ac:dyDescent="0.3">
      <c r="A76" t="s">
        <v>176</v>
      </c>
      <c r="B76" t="s">
        <v>530</v>
      </c>
      <c r="C76" t="s">
        <v>440</v>
      </c>
      <c r="D76" t="s">
        <v>8</v>
      </c>
      <c r="E76" s="1">
        <v>45392</v>
      </c>
      <c r="F76" s="2">
        <v>0.33333333333333331</v>
      </c>
      <c r="G76" t="s">
        <v>436</v>
      </c>
    </row>
    <row r="77" spans="1:7" x14ac:dyDescent="0.3">
      <c r="A77" t="s">
        <v>178</v>
      </c>
      <c r="B77" t="s">
        <v>531</v>
      </c>
      <c r="C77" t="s">
        <v>452</v>
      </c>
      <c r="D77" t="s">
        <v>65</v>
      </c>
      <c r="E77" s="1">
        <v>45382</v>
      </c>
      <c r="F77" s="2">
        <v>0.375</v>
      </c>
      <c r="G77" t="s">
        <v>433</v>
      </c>
    </row>
    <row r="78" spans="1:7" x14ac:dyDescent="0.3">
      <c r="A78" t="s">
        <v>180</v>
      </c>
      <c r="B78" t="s">
        <v>532</v>
      </c>
      <c r="C78" t="s">
        <v>457</v>
      </c>
      <c r="D78" t="s">
        <v>19</v>
      </c>
      <c r="E78" s="1">
        <v>45651</v>
      </c>
      <c r="F78" s="2">
        <v>0.5</v>
      </c>
      <c r="G78" t="s">
        <v>438</v>
      </c>
    </row>
    <row r="79" spans="1:7" x14ac:dyDescent="0.3">
      <c r="A79" t="s">
        <v>182</v>
      </c>
      <c r="B79" t="s">
        <v>533</v>
      </c>
      <c r="C79" t="s">
        <v>457</v>
      </c>
      <c r="D79" t="s">
        <v>12</v>
      </c>
      <c r="E79" s="1">
        <v>45464</v>
      </c>
      <c r="F79" s="2">
        <v>0.625</v>
      </c>
      <c r="G79" t="s">
        <v>441</v>
      </c>
    </row>
    <row r="80" spans="1:7" x14ac:dyDescent="0.3">
      <c r="A80" t="s">
        <v>184</v>
      </c>
      <c r="B80" t="s">
        <v>534</v>
      </c>
      <c r="C80" t="s">
        <v>495</v>
      </c>
      <c r="D80" t="s">
        <v>12</v>
      </c>
      <c r="E80" s="1">
        <v>45504</v>
      </c>
      <c r="F80" s="2">
        <v>0.58333333333333337</v>
      </c>
      <c r="G80" t="s">
        <v>433</v>
      </c>
    </row>
    <row r="81" spans="1:7" x14ac:dyDescent="0.3">
      <c r="A81" t="s">
        <v>186</v>
      </c>
      <c r="B81" t="s">
        <v>535</v>
      </c>
      <c r="C81" t="s">
        <v>476</v>
      </c>
      <c r="D81" t="s">
        <v>70</v>
      </c>
      <c r="E81" s="1">
        <v>45594</v>
      </c>
      <c r="F81" s="2">
        <v>0.70833333333333337</v>
      </c>
      <c r="G81" t="s">
        <v>436</v>
      </c>
    </row>
    <row r="82" spans="1:7" x14ac:dyDescent="0.3">
      <c r="A82" t="s">
        <v>188</v>
      </c>
      <c r="B82" t="s">
        <v>536</v>
      </c>
      <c r="C82" t="s">
        <v>454</v>
      </c>
      <c r="D82" t="s">
        <v>65</v>
      </c>
      <c r="E82" s="1">
        <v>45614</v>
      </c>
      <c r="F82" s="2">
        <v>0.66666666666666663</v>
      </c>
      <c r="G82" t="s">
        <v>441</v>
      </c>
    </row>
    <row r="83" spans="1:7" x14ac:dyDescent="0.3">
      <c r="A83" t="s">
        <v>190</v>
      </c>
      <c r="B83" t="s">
        <v>537</v>
      </c>
      <c r="C83" t="s">
        <v>465</v>
      </c>
      <c r="D83" t="s">
        <v>8</v>
      </c>
      <c r="E83" s="1">
        <v>45541</v>
      </c>
      <c r="F83" s="2">
        <v>0.5</v>
      </c>
      <c r="G83" t="s">
        <v>438</v>
      </c>
    </row>
    <row r="84" spans="1:7" x14ac:dyDescent="0.3">
      <c r="A84" t="s">
        <v>192</v>
      </c>
      <c r="B84" t="s">
        <v>538</v>
      </c>
      <c r="C84" t="s">
        <v>479</v>
      </c>
      <c r="D84" t="s">
        <v>8</v>
      </c>
      <c r="E84" s="1">
        <v>45440</v>
      </c>
      <c r="F84" s="2">
        <v>0.6875</v>
      </c>
      <c r="G84" t="s">
        <v>441</v>
      </c>
    </row>
    <row r="85" spans="1:7" x14ac:dyDescent="0.3">
      <c r="A85" t="s">
        <v>194</v>
      </c>
      <c r="B85" t="s">
        <v>539</v>
      </c>
      <c r="C85" t="s">
        <v>540</v>
      </c>
      <c r="D85" t="s">
        <v>65</v>
      </c>
      <c r="E85" s="1">
        <v>45307</v>
      </c>
      <c r="F85" s="2">
        <v>0.6875</v>
      </c>
      <c r="G85" t="s">
        <v>438</v>
      </c>
    </row>
    <row r="86" spans="1:7" x14ac:dyDescent="0.3">
      <c r="A86" t="s">
        <v>196</v>
      </c>
      <c r="B86" t="s">
        <v>864</v>
      </c>
      <c r="C86" t="s">
        <v>495</v>
      </c>
      <c r="D86" t="s">
        <v>65</v>
      </c>
      <c r="E86" s="1">
        <v>45305</v>
      </c>
      <c r="F86" s="2" t="s">
        <v>864</v>
      </c>
      <c r="G86" t="s">
        <v>864</v>
      </c>
    </row>
    <row r="87" spans="1:7" x14ac:dyDescent="0.3">
      <c r="A87" t="s">
        <v>198</v>
      </c>
      <c r="B87" t="s">
        <v>541</v>
      </c>
      <c r="C87" t="s">
        <v>463</v>
      </c>
      <c r="D87" t="s">
        <v>23</v>
      </c>
      <c r="E87" s="1">
        <v>45523</v>
      </c>
      <c r="F87" s="2">
        <v>0.33333333333333331</v>
      </c>
      <c r="G87" t="s">
        <v>438</v>
      </c>
    </row>
    <row r="88" spans="1:7" x14ac:dyDescent="0.3">
      <c r="A88" t="s">
        <v>200</v>
      </c>
      <c r="B88" t="s">
        <v>542</v>
      </c>
      <c r="C88" t="s">
        <v>479</v>
      </c>
      <c r="D88" t="s">
        <v>8</v>
      </c>
      <c r="E88" s="1">
        <v>45534</v>
      </c>
      <c r="F88" s="2">
        <v>0.72916666666666663</v>
      </c>
      <c r="G88" t="s">
        <v>438</v>
      </c>
    </row>
    <row r="89" spans="1:7" x14ac:dyDescent="0.3">
      <c r="A89" t="s">
        <v>202</v>
      </c>
      <c r="B89" t="s">
        <v>543</v>
      </c>
      <c r="C89" t="s">
        <v>521</v>
      </c>
      <c r="D89" t="s">
        <v>65</v>
      </c>
      <c r="E89" s="1">
        <v>45386</v>
      </c>
      <c r="F89" s="2">
        <v>0.72916666666666663</v>
      </c>
      <c r="G89" t="s">
        <v>438</v>
      </c>
    </row>
    <row r="90" spans="1:7" x14ac:dyDescent="0.3">
      <c r="A90" t="s">
        <v>204</v>
      </c>
      <c r="B90" t="s">
        <v>544</v>
      </c>
      <c r="C90" t="s">
        <v>448</v>
      </c>
      <c r="D90" t="s">
        <v>23</v>
      </c>
      <c r="E90" s="1">
        <v>45386</v>
      </c>
      <c r="F90" s="2">
        <v>0.70833333333333337</v>
      </c>
      <c r="G90" t="s">
        <v>436</v>
      </c>
    </row>
    <row r="91" spans="1:7" x14ac:dyDescent="0.3">
      <c r="A91" t="s">
        <v>206</v>
      </c>
      <c r="B91" t="s">
        <v>545</v>
      </c>
      <c r="C91" t="s">
        <v>450</v>
      </c>
      <c r="D91" t="s">
        <v>12</v>
      </c>
      <c r="E91" s="1">
        <v>45468</v>
      </c>
      <c r="F91" s="2">
        <v>0.625</v>
      </c>
      <c r="G91" t="s">
        <v>436</v>
      </c>
    </row>
    <row r="92" spans="1:7" x14ac:dyDescent="0.3">
      <c r="A92" t="s">
        <v>208</v>
      </c>
      <c r="B92" t="s">
        <v>546</v>
      </c>
      <c r="C92" t="s">
        <v>467</v>
      </c>
      <c r="D92" t="s">
        <v>12</v>
      </c>
      <c r="E92" s="1">
        <v>45390</v>
      </c>
      <c r="F92" s="2">
        <v>0.70833333333333337</v>
      </c>
      <c r="G92" t="s">
        <v>433</v>
      </c>
    </row>
    <row r="93" spans="1:7" x14ac:dyDescent="0.3">
      <c r="A93" t="s">
        <v>210</v>
      </c>
      <c r="B93" t="s">
        <v>547</v>
      </c>
      <c r="C93" t="s">
        <v>482</v>
      </c>
      <c r="D93" t="s">
        <v>70</v>
      </c>
      <c r="E93" s="1">
        <v>45654</v>
      </c>
      <c r="F93" s="2">
        <v>0.58333333333333337</v>
      </c>
      <c r="G93" t="s">
        <v>438</v>
      </c>
    </row>
    <row r="94" spans="1:7" x14ac:dyDescent="0.3">
      <c r="A94" t="s">
        <v>212</v>
      </c>
      <c r="B94" t="s">
        <v>548</v>
      </c>
      <c r="C94" t="s">
        <v>440</v>
      </c>
      <c r="D94" t="s">
        <v>23</v>
      </c>
      <c r="E94" s="1">
        <v>45454</v>
      </c>
      <c r="F94" s="2">
        <v>0.45833333333333331</v>
      </c>
      <c r="G94" t="s">
        <v>441</v>
      </c>
    </row>
    <row r="95" spans="1:7" x14ac:dyDescent="0.3">
      <c r="A95" t="s">
        <v>214</v>
      </c>
      <c r="B95" t="s">
        <v>549</v>
      </c>
      <c r="C95" t="s">
        <v>432</v>
      </c>
      <c r="D95" t="s">
        <v>12</v>
      </c>
      <c r="E95" s="1">
        <v>45449</v>
      </c>
      <c r="F95" s="2">
        <v>0.77083333333333337</v>
      </c>
      <c r="G95" t="s">
        <v>436</v>
      </c>
    </row>
    <row r="96" spans="1:7" x14ac:dyDescent="0.3">
      <c r="A96" t="s">
        <v>216</v>
      </c>
      <c r="B96" t="s">
        <v>550</v>
      </c>
      <c r="C96" t="s">
        <v>432</v>
      </c>
      <c r="D96" t="s">
        <v>65</v>
      </c>
      <c r="E96" s="1">
        <v>45600</v>
      </c>
      <c r="F96" s="2">
        <v>0.66666666666666663</v>
      </c>
      <c r="G96" t="s">
        <v>441</v>
      </c>
    </row>
    <row r="97" spans="1:7" x14ac:dyDescent="0.3">
      <c r="A97" t="s">
        <v>218</v>
      </c>
      <c r="B97" t="s">
        <v>551</v>
      </c>
      <c r="C97" t="s">
        <v>474</v>
      </c>
      <c r="D97" t="s">
        <v>70</v>
      </c>
      <c r="E97" s="1">
        <v>45370</v>
      </c>
      <c r="F97" s="2">
        <v>0.66666666666666663</v>
      </c>
      <c r="G97" t="s">
        <v>436</v>
      </c>
    </row>
    <row r="98" spans="1:7" x14ac:dyDescent="0.3">
      <c r="A98" t="s">
        <v>220</v>
      </c>
      <c r="B98" t="s">
        <v>552</v>
      </c>
      <c r="C98" t="s">
        <v>470</v>
      </c>
      <c r="D98" t="s">
        <v>23</v>
      </c>
      <c r="E98" s="1">
        <v>45389</v>
      </c>
      <c r="F98" s="2">
        <v>0.35416666666666669</v>
      </c>
      <c r="G98" t="s">
        <v>441</v>
      </c>
    </row>
    <row r="99" spans="1:7" x14ac:dyDescent="0.3">
      <c r="A99" t="s">
        <v>222</v>
      </c>
      <c r="B99" t="s">
        <v>553</v>
      </c>
      <c r="C99" t="s">
        <v>512</v>
      </c>
      <c r="D99" t="s">
        <v>19</v>
      </c>
      <c r="E99" s="1">
        <v>45438</v>
      </c>
      <c r="F99" s="2">
        <v>0.4375</v>
      </c>
      <c r="G99" t="s">
        <v>441</v>
      </c>
    </row>
    <row r="100" spans="1:7" x14ac:dyDescent="0.3">
      <c r="A100" t="s">
        <v>224</v>
      </c>
      <c r="B100" t="s">
        <v>554</v>
      </c>
      <c r="C100" t="s">
        <v>555</v>
      </c>
      <c r="D100" t="s">
        <v>8</v>
      </c>
      <c r="E100" s="1">
        <v>45457</v>
      </c>
      <c r="F100" s="2">
        <v>0.5</v>
      </c>
      <c r="G100" t="s">
        <v>433</v>
      </c>
    </row>
    <row r="101" spans="1:7" x14ac:dyDescent="0.3">
      <c r="A101" t="s">
        <v>226</v>
      </c>
      <c r="B101" t="s">
        <v>556</v>
      </c>
      <c r="C101" t="s">
        <v>521</v>
      </c>
      <c r="D101" t="s">
        <v>65</v>
      </c>
      <c r="E101" s="1">
        <v>45428</v>
      </c>
      <c r="F101" s="2">
        <v>0.77083333333333337</v>
      </c>
      <c r="G101" t="s">
        <v>438</v>
      </c>
    </row>
    <row r="102" spans="1:7" x14ac:dyDescent="0.3">
      <c r="A102" t="s">
        <v>228</v>
      </c>
      <c r="B102" t="s">
        <v>557</v>
      </c>
      <c r="C102" t="s">
        <v>540</v>
      </c>
      <c r="D102" t="s">
        <v>12</v>
      </c>
      <c r="E102" s="1">
        <v>45367</v>
      </c>
      <c r="F102" s="2">
        <v>0.41666666666666669</v>
      </c>
      <c r="G102" t="s">
        <v>436</v>
      </c>
    </row>
    <row r="103" spans="1:7" x14ac:dyDescent="0.3">
      <c r="A103" t="s">
        <v>230</v>
      </c>
      <c r="B103" t="s">
        <v>558</v>
      </c>
      <c r="C103" t="s">
        <v>467</v>
      </c>
      <c r="D103" t="s">
        <v>23</v>
      </c>
      <c r="E103" s="1">
        <v>45529</v>
      </c>
      <c r="F103" s="2">
        <v>0.4375</v>
      </c>
      <c r="G103" t="s">
        <v>436</v>
      </c>
    </row>
    <row r="104" spans="1:7" x14ac:dyDescent="0.3">
      <c r="A104" t="s">
        <v>232</v>
      </c>
      <c r="B104" t="s">
        <v>559</v>
      </c>
      <c r="C104" t="s">
        <v>467</v>
      </c>
      <c r="D104" t="s">
        <v>19</v>
      </c>
      <c r="E104" s="1">
        <v>45306</v>
      </c>
      <c r="F104" s="2">
        <v>0.52083333333333337</v>
      </c>
      <c r="G104" t="s">
        <v>438</v>
      </c>
    </row>
    <row r="105" spans="1:7" x14ac:dyDescent="0.3">
      <c r="A105" t="s">
        <v>234</v>
      </c>
      <c r="B105" t="s">
        <v>560</v>
      </c>
      <c r="C105" t="s">
        <v>512</v>
      </c>
      <c r="D105" t="s">
        <v>19</v>
      </c>
      <c r="E105" s="1">
        <v>45618</v>
      </c>
      <c r="F105" s="2">
        <v>0.77083333333333337</v>
      </c>
      <c r="G105" t="s">
        <v>436</v>
      </c>
    </row>
    <row r="106" spans="1:7" x14ac:dyDescent="0.3">
      <c r="A106" t="s">
        <v>236</v>
      </c>
      <c r="B106" t="s">
        <v>561</v>
      </c>
      <c r="C106" t="s">
        <v>430</v>
      </c>
      <c r="D106" t="s">
        <v>8</v>
      </c>
      <c r="E106" s="1">
        <v>45387</v>
      </c>
      <c r="F106" s="2">
        <v>0.375</v>
      </c>
      <c r="G106" t="s">
        <v>441</v>
      </c>
    </row>
    <row r="107" spans="1:7" x14ac:dyDescent="0.3">
      <c r="A107" t="s">
        <v>238</v>
      </c>
      <c r="B107" t="s">
        <v>562</v>
      </c>
      <c r="C107" t="s">
        <v>467</v>
      </c>
      <c r="D107" t="s">
        <v>70</v>
      </c>
      <c r="E107" s="1">
        <v>45646</v>
      </c>
      <c r="F107" s="2">
        <v>0.4375</v>
      </c>
      <c r="G107" t="s">
        <v>436</v>
      </c>
    </row>
    <row r="108" spans="1:7" x14ac:dyDescent="0.3">
      <c r="A108" t="s">
        <v>240</v>
      </c>
      <c r="B108" t="s">
        <v>563</v>
      </c>
      <c r="C108" t="s">
        <v>470</v>
      </c>
      <c r="D108" t="s">
        <v>12</v>
      </c>
      <c r="E108" s="1">
        <v>45608</v>
      </c>
      <c r="F108" s="2">
        <v>0.35416666666666669</v>
      </c>
      <c r="G108" t="s">
        <v>433</v>
      </c>
    </row>
    <row r="109" spans="1:7" x14ac:dyDescent="0.3">
      <c r="A109" t="s">
        <v>242</v>
      </c>
      <c r="B109" t="s">
        <v>564</v>
      </c>
      <c r="C109" t="s">
        <v>482</v>
      </c>
      <c r="D109" t="s">
        <v>8</v>
      </c>
      <c r="E109" s="1">
        <v>45367</v>
      </c>
      <c r="F109" s="2">
        <v>0.60416666666666663</v>
      </c>
      <c r="G109" t="s">
        <v>438</v>
      </c>
    </row>
    <row r="110" spans="1:7" x14ac:dyDescent="0.3">
      <c r="A110" t="s">
        <v>244</v>
      </c>
      <c r="B110" t="s">
        <v>565</v>
      </c>
      <c r="C110" t="s">
        <v>503</v>
      </c>
      <c r="D110" t="s">
        <v>65</v>
      </c>
      <c r="E110" s="1">
        <v>45404</v>
      </c>
      <c r="F110" s="2">
        <v>0.75</v>
      </c>
      <c r="G110" t="s">
        <v>438</v>
      </c>
    </row>
    <row r="111" spans="1:7" x14ac:dyDescent="0.3">
      <c r="A111" t="s">
        <v>246</v>
      </c>
      <c r="B111" t="s">
        <v>566</v>
      </c>
      <c r="C111" t="s">
        <v>485</v>
      </c>
      <c r="D111" t="s">
        <v>23</v>
      </c>
      <c r="E111" s="1">
        <v>45480</v>
      </c>
      <c r="F111" s="2">
        <v>0.6875</v>
      </c>
      <c r="G111" t="s">
        <v>438</v>
      </c>
    </row>
    <row r="112" spans="1:7" x14ac:dyDescent="0.3">
      <c r="A112" t="s">
        <v>248</v>
      </c>
      <c r="B112" t="s">
        <v>567</v>
      </c>
      <c r="C112" t="s">
        <v>499</v>
      </c>
      <c r="D112" t="s">
        <v>23</v>
      </c>
      <c r="E112" s="1">
        <v>45444</v>
      </c>
      <c r="F112" s="2">
        <v>0.41666666666666669</v>
      </c>
      <c r="G112" t="s">
        <v>436</v>
      </c>
    </row>
    <row r="113" spans="1:7" x14ac:dyDescent="0.3">
      <c r="A113" t="s">
        <v>250</v>
      </c>
      <c r="B113" t="s">
        <v>568</v>
      </c>
      <c r="C113" t="s">
        <v>485</v>
      </c>
      <c r="D113" t="s">
        <v>70</v>
      </c>
      <c r="E113" s="1">
        <v>45472</v>
      </c>
      <c r="F113" s="2">
        <v>0.45833333333333331</v>
      </c>
      <c r="G113" t="s">
        <v>436</v>
      </c>
    </row>
    <row r="114" spans="1:7" x14ac:dyDescent="0.3">
      <c r="A114" t="s">
        <v>252</v>
      </c>
      <c r="B114" t="s">
        <v>569</v>
      </c>
      <c r="C114" t="s">
        <v>435</v>
      </c>
      <c r="D114" t="s">
        <v>65</v>
      </c>
      <c r="E114" s="1">
        <v>45303</v>
      </c>
      <c r="F114" s="2">
        <v>0.75</v>
      </c>
      <c r="G114" t="s">
        <v>436</v>
      </c>
    </row>
    <row r="115" spans="1:7" x14ac:dyDescent="0.3">
      <c r="A115" t="s">
        <v>254</v>
      </c>
      <c r="B115" t="s">
        <v>864</v>
      </c>
      <c r="C115" t="s">
        <v>479</v>
      </c>
      <c r="D115" t="s">
        <v>864</v>
      </c>
      <c r="E115" s="1">
        <v>45538</v>
      </c>
      <c r="F115" s="2" t="s">
        <v>864</v>
      </c>
      <c r="G115" t="s">
        <v>436</v>
      </c>
    </row>
    <row r="116" spans="1:7" x14ac:dyDescent="0.3">
      <c r="A116" t="s">
        <v>256</v>
      </c>
      <c r="B116" t="s">
        <v>570</v>
      </c>
      <c r="C116" t="s">
        <v>512</v>
      </c>
      <c r="D116" t="s">
        <v>65</v>
      </c>
      <c r="E116" s="1">
        <v>45486</v>
      </c>
      <c r="F116" s="2">
        <v>0.33333333333333331</v>
      </c>
      <c r="G116" t="s">
        <v>436</v>
      </c>
    </row>
    <row r="117" spans="1:7" x14ac:dyDescent="0.3">
      <c r="A117" t="s">
        <v>258</v>
      </c>
      <c r="B117" t="s">
        <v>571</v>
      </c>
      <c r="C117" t="s">
        <v>446</v>
      </c>
      <c r="D117" t="s">
        <v>23</v>
      </c>
      <c r="E117" s="1">
        <v>45491</v>
      </c>
      <c r="F117" s="2">
        <v>0.41666666666666669</v>
      </c>
      <c r="G117" t="s">
        <v>438</v>
      </c>
    </row>
    <row r="118" spans="1:7" x14ac:dyDescent="0.3">
      <c r="A118" t="s">
        <v>260</v>
      </c>
      <c r="B118" t="s">
        <v>572</v>
      </c>
      <c r="C118" t="s">
        <v>497</v>
      </c>
      <c r="D118" t="s">
        <v>70</v>
      </c>
      <c r="E118" s="1">
        <v>45504</v>
      </c>
      <c r="F118" s="2">
        <v>0.41666666666666669</v>
      </c>
      <c r="G118" t="s">
        <v>441</v>
      </c>
    </row>
    <row r="119" spans="1:7" x14ac:dyDescent="0.3">
      <c r="A119" t="s">
        <v>262</v>
      </c>
      <c r="B119" t="s">
        <v>573</v>
      </c>
      <c r="C119" t="s">
        <v>499</v>
      </c>
      <c r="D119" t="s">
        <v>65</v>
      </c>
      <c r="E119" s="1">
        <v>45359</v>
      </c>
      <c r="F119" s="2">
        <v>0.70833333333333337</v>
      </c>
      <c r="G119" t="s">
        <v>433</v>
      </c>
    </row>
    <row r="120" spans="1:7" x14ac:dyDescent="0.3">
      <c r="A120" t="s">
        <v>264</v>
      </c>
      <c r="B120" t="s">
        <v>574</v>
      </c>
      <c r="C120" t="s">
        <v>470</v>
      </c>
      <c r="D120" t="s">
        <v>12</v>
      </c>
      <c r="E120" s="1">
        <v>45449</v>
      </c>
      <c r="F120" s="2">
        <v>0.70833333333333337</v>
      </c>
      <c r="G120" t="s">
        <v>436</v>
      </c>
    </row>
    <row r="121" spans="1:7" x14ac:dyDescent="0.3">
      <c r="A121" t="s">
        <v>266</v>
      </c>
      <c r="B121" t="s">
        <v>575</v>
      </c>
      <c r="C121" t="s">
        <v>454</v>
      </c>
      <c r="D121" t="s">
        <v>19</v>
      </c>
      <c r="E121" s="1">
        <v>45379</v>
      </c>
      <c r="F121" s="2">
        <v>0.70833333333333337</v>
      </c>
      <c r="G121" t="s">
        <v>436</v>
      </c>
    </row>
    <row r="122" spans="1:7" x14ac:dyDescent="0.3">
      <c r="A122" t="s">
        <v>268</v>
      </c>
      <c r="B122" t="s">
        <v>576</v>
      </c>
      <c r="C122" t="s">
        <v>482</v>
      </c>
      <c r="D122" t="s">
        <v>8</v>
      </c>
      <c r="E122" s="1">
        <v>45482</v>
      </c>
      <c r="F122" s="2">
        <v>0.47916666666666669</v>
      </c>
      <c r="G122" t="s">
        <v>438</v>
      </c>
    </row>
    <row r="123" spans="1:7" x14ac:dyDescent="0.3">
      <c r="A123" t="s">
        <v>270</v>
      </c>
      <c r="B123" t="s">
        <v>577</v>
      </c>
      <c r="C123" t="s">
        <v>482</v>
      </c>
      <c r="D123" t="s">
        <v>19</v>
      </c>
      <c r="E123" s="1">
        <v>45545</v>
      </c>
      <c r="F123" s="2">
        <v>0.5</v>
      </c>
      <c r="G123" t="s">
        <v>436</v>
      </c>
    </row>
    <row r="124" spans="1:7" x14ac:dyDescent="0.3">
      <c r="A124" t="s">
        <v>272</v>
      </c>
      <c r="B124" t="s">
        <v>578</v>
      </c>
      <c r="C124" t="s">
        <v>430</v>
      </c>
      <c r="D124" t="s">
        <v>8</v>
      </c>
      <c r="E124" s="1">
        <v>45515</v>
      </c>
      <c r="F124" s="2">
        <v>0.64583333333333337</v>
      </c>
      <c r="G124" t="s">
        <v>438</v>
      </c>
    </row>
    <row r="125" spans="1:7" x14ac:dyDescent="0.3">
      <c r="A125" t="s">
        <v>274</v>
      </c>
      <c r="B125" t="s">
        <v>579</v>
      </c>
      <c r="C125" t="s">
        <v>479</v>
      </c>
      <c r="D125" t="s">
        <v>12</v>
      </c>
      <c r="E125" s="1">
        <v>45423</v>
      </c>
      <c r="F125" s="2">
        <v>0.58333333333333337</v>
      </c>
      <c r="G125" t="s">
        <v>436</v>
      </c>
    </row>
    <row r="126" spans="1:7" x14ac:dyDescent="0.3">
      <c r="A126" t="s">
        <v>276</v>
      </c>
      <c r="B126" t="s">
        <v>580</v>
      </c>
      <c r="C126" t="s">
        <v>467</v>
      </c>
      <c r="D126" t="s">
        <v>70</v>
      </c>
      <c r="E126" s="1">
        <v>45582</v>
      </c>
      <c r="F126" s="2">
        <v>0.5625</v>
      </c>
      <c r="G126" t="s">
        <v>436</v>
      </c>
    </row>
    <row r="127" spans="1:7" x14ac:dyDescent="0.3">
      <c r="A127" t="s">
        <v>582</v>
      </c>
      <c r="B127" t="s">
        <v>581</v>
      </c>
      <c r="C127" t="s">
        <v>440</v>
      </c>
      <c r="D127" t="s">
        <v>12</v>
      </c>
      <c r="E127" s="1">
        <v>45543</v>
      </c>
      <c r="F127" s="2">
        <v>0.70833333333333337</v>
      </c>
      <c r="G127" t="s">
        <v>436</v>
      </c>
    </row>
    <row r="128" spans="1:7" x14ac:dyDescent="0.3">
      <c r="A128" t="s">
        <v>278</v>
      </c>
      <c r="B128" t="s">
        <v>583</v>
      </c>
      <c r="C128" t="s">
        <v>485</v>
      </c>
      <c r="D128" t="s">
        <v>12</v>
      </c>
      <c r="E128" s="1">
        <v>45324</v>
      </c>
      <c r="F128" s="2">
        <v>0.625</v>
      </c>
      <c r="G128" t="s">
        <v>438</v>
      </c>
    </row>
    <row r="129" spans="1:7" x14ac:dyDescent="0.3">
      <c r="A129" t="s">
        <v>280</v>
      </c>
      <c r="B129" t="s">
        <v>584</v>
      </c>
      <c r="C129" t="s">
        <v>444</v>
      </c>
      <c r="D129" t="s">
        <v>70</v>
      </c>
      <c r="E129" s="1">
        <v>45627</v>
      </c>
      <c r="F129" s="2">
        <v>0.64583333333333337</v>
      </c>
      <c r="G129" t="s">
        <v>441</v>
      </c>
    </row>
    <row r="130" spans="1:7" x14ac:dyDescent="0.3">
      <c r="A130" t="s">
        <v>282</v>
      </c>
      <c r="B130" t="s">
        <v>585</v>
      </c>
      <c r="C130" t="s">
        <v>476</v>
      </c>
      <c r="D130" t="s">
        <v>23</v>
      </c>
      <c r="E130" s="1">
        <v>45568</v>
      </c>
      <c r="F130" s="2">
        <v>0.375</v>
      </c>
      <c r="G130" t="s">
        <v>436</v>
      </c>
    </row>
    <row r="131" spans="1:7" x14ac:dyDescent="0.3">
      <c r="A131" t="s">
        <v>284</v>
      </c>
      <c r="B131" t="s">
        <v>586</v>
      </c>
      <c r="C131" t="s">
        <v>470</v>
      </c>
      <c r="D131" t="s">
        <v>65</v>
      </c>
      <c r="E131" s="1">
        <v>45535</v>
      </c>
      <c r="F131" s="2">
        <v>0.45833333333333331</v>
      </c>
      <c r="G131" t="s">
        <v>441</v>
      </c>
    </row>
    <row r="132" spans="1:7" x14ac:dyDescent="0.3">
      <c r="A132" t="s">
        <v>286</v>
      </c>
      <c r="B132" t="s">
        <v>587</v>
      </c>
      <c r="C132" t="s">
        <v>444</v>
      </c>
      <c r="D132" t="s">
        <v>12</v>
      </c>
      <c r="E132" s="1">
        <v>45537</v>
      </c>
      <c r="F132" s="2">
        <v>0.52083333333333337</v>
      </c>
      <c r="G132" t="s">
        <v>436</v>
      </c>
    </row>
    <row r="133" spans="1:7" x14ac:dyDescent="0.3">
      <c r="A133" t="s">
        <v>288</v>
      </c>
      <c r="B133" t="s">
        <v>588</v>
      </c>
      <c r="C133" t="s">
        <v>440</v>
      </c>
      <c r="D133" t="s">
        <v>8</v>
      </c>
      <c r="E133" s="1">
        <v>45492</v>
      </c>
      <c r="F133" s="2">
        <v>0.72916666666666663</v>
      </c>
      <c r="G133" t="s">
        <v>441</v>
      </c>
    </row>
    <row r="134" spans="1:7" x14ac:dyDescent="0.3">
      <c r="A134" t="s">
        <v>290</v>
      </c>
      <c r="B134" t="s">
        <v>589</v>
      </c>
      <c r="C134" t="s">
        <v>521</v>
      </c>
      <c r="D134" t="s">
        <v>65</v>
      </c>
      <c r="E134" s="1">
        <v>45558</v>
      </c>
      <c r="F134" s="2">
        <v>0.41666666666666669</v>
      </c>
      <c r="G134" t="s">
        <v>436</v>
      </c>
    </row>
    <row r="135" spans="1:7" x14ac:dyDescent="0.3">
      <c r="A135" t="s">
        <v>292</v>
      </c>
      <c r="B135" t="s">
        <v>590</v>
      </c>
      <c r="C135" t="s">
        <v>476</v>
      </c>
      <c r="D135" t="s">
        <v>8</v>
      </c>
      <c r="E135" s="1">
        <v>45502</v>
      </c>
      <c r="F135" s="2">
        <v>0.54166666666666663</v>
      </c>
      <c r="G135" t="s">
        <v>433</v>
      </c>
    </row>
    <row r="136" spans="1:7" x14ac:dyDescent="0.3">
      <c r="A136" t="s">
        <v>294</v>
      </c>
      <c r="B136" t="s">
        <v>591</v>
      </c>
      <c r="C136" t="s">
        <v>430</v>
      </c>
      <c r="D136" t="s">
        <v>8</v>
      </c>
      <c r="E136" s="1">
        <v>45367</v>
      </c>
      <c r="F136" s="2">
        <v>0.72916666666666663</v>
      </c>
      <c r="G136" t="s">
        <v>436</v>
      </c>
    </row>
    <row r="137" spans="1:7" x14ac:dyDescent="0.3">
      <c r="A137" t="s">
        <v>296</v>
      </c>
      <c r="B137" t="s">
        <v>592</v>
      </c>
      <c r="C137" t="s">
        <v>471</v>
      </c>
      <c r="D137" t="s">
        <v>65</v>
      </c>
      <c r="E137" s="1">
        <v>45634</v>
      </c>
      <c r="F137" s="2">
        <v>0.60416666666666663</v>
      </c>
      <c r="G137" t="s">
        <v>436</v>
      </c>
    </row>
    <row r="138" spans="1:7" x14ac:dyDescent="0.3">
      <c r="A138" t="s">
        <v>298</v>
      </c>
      <c r="B138" t="s">
        <v>593</v>
      </c>
      <c r="C138" t="s">
        <v>457</v>
      </c>
      <c r="D138" t="s">
        <v>8</v>
      </c>
      <c r="E138" s="1">
        <v>45465</v>
      </c>
      <c r="F138" s="2">
        <v>0.45833333333333331</v>
      </c>
      <c r="G138" t="s">
        <v>436</v>
      </c>
    </row>
    <row r="139" spans="1:7" x14ac:dyDescent="0.3">
      <c r="A139" t="s">
        <v>300</v>
      </c>
      <c r="B139" t="s">
        <v>594</v>
      </c>
      <c r="C139" t="s">
        <v>457</v>
      </c>
      <c r="D139" t="s">
        <v>12</v>
      </c>
      <c r="E139" s="1">
        <v>45443</v>
      </c>
      <c r="F139" s="2">
        <v>0.77083333333333337</v>
      </c>
      <c r="G139" t="s">
        <v>438</v>
      </c>
    </row>
    <row r="140" spans="1:7" x14ac:dyDescent="0.3">
      <c r="A140" t="s">
        <v>302</v>
      </c>
      <c r="B140" t="s">
        <v>595</v>
      </c>
      <c r="C140" t="s">
        <v>440</v>
      </c>
      <c r="D140" t="s">
        <v>23</v>
      </c>
      <c r="E140" s="1">
        <v>45443</v>
      </c>
      <c r="F140" s="2">
        <v>0.72916666666666663</v>
      </c>
      <c r="G140" t="s">
        <v>441</v>
      </c>
    </row>
    <row r="141" spans="1:7" x14ac:dyDescent="0.3">
      <c r="A141" t="s">
        <v>304</v>
      </c>
      <c r="B141" t="s">
        <v>596</v>
      </c>
      <c r="C141" t="s">
        <v>448</v>
      </c>
      <c r="D141" t="s">
        <v>23</v>
      </c>
      <c r="E141" s="1">
        <v>45318</v>
      </c>
      <c r="F141" s="2">
        <v>0.41666666666666669</v>
      </c>
      <c r="G141" t="s">
        <v>441</v>
      </c>
    </row>
    <row r="142" spans="1:7" x14ac:dyDescent="0.3">
      <c r="A142" t="s">
        <v>306</v>
      </c>
      <c r="B142" t="s">
        <v>864</v>
      </c>
      <c r="C142" t="s">
        <v>454</v>
      </c>
      <c r="D142" t="s">
        <v>23</v>
      </c>
      <c r="E142" s="1">
        <v>45292</v>
      </c>
      <c r="F142" s="2" t="s">
        <v>864</v>
      </c>
      <c r="G142" t="s">
        <v>864</v>
      </c>
    </row>
    <row r="143" spans="1:7" x14ac:dyDescent="0.3">
      <c r="A143" t="s">
        <v>308</v>
      </c>
      <c r="B143" t="s">
        <v>597</v>
      </c>
      <c r="C143" t="s">
        <v>450</v>
      </c>
      <c r="D143" t="s">
        <v>70</v>
      </c>
      <c r="E143" s="1">
        <v>45305</v>
      </c>
      <c r="F143" s="2">
        <v>0.5</v>
      </c>
      <c r="G143" t="s">
        <v>436</v>
      </c>
    </row>
    <row r="144" spans="1:7" x14ac:dyDescent="0.3">
      <c r="A144" t="s">
        <v>310</v>
      </c>
      <c r="B144" t="s">
        <v>598</v>
      </c>
      <c r="C144" t="s">
        <v>450</v>
      </c>
      <c r="D144" t="s">
        <v>23</v>
      </c>
      <c r="E144" s="1">
        <v>45574</v>
      </c>
      <c r="F144" s="2">
        <v>0.47916666666666669</v>
      </c>
      <c r="G144" t="s">
        <v>433</v>
      </c>
    </row>
    <row r="145" spans="1:7" x14ac:dyDescent="0.3">
      <c r="A145" t="s">
        <v>312</v>
      </c>
      <c r="B145" t="s">
        <v>599</v>
      </c>
      <c r="C145" t="s">
        <v>497</v>
      </c>
      <c r="D145" t="s">
        <v>12</v>
      </c>
      <c r="E145" s="1">
        <v>45406</v>
      </c>
      <c r="F145" s="2">
        <v>0.77083333333333337</v>
      </c>
      <c r="G145" t="s">
        <v>438</v>
      </c>
    </row>
    <row r="146" spans="1:7" x14ac:dyDescent="0.3">
      <c r="A146" t="s">
        <v>314</v>
      </c>
      <c r="B146" t="s">
        <v>600</v>
      </c>
      <c r="C146" t="s">
        <v>463</v>
      </c>
      <c r="D146" t="s">
        <v>12</v>
      </c>
      <c r="E146" s="1">
        <v>45519</v>
      </c>
      <c r="F146" s="2">
        <v>0.375</v>
      </c>
      <c r="G146" t="s">
        <v>436</v>
      </c>
    </row>
    <row r="147" spans="1:7" x14ac:dyDescent="0.3">
      <c r="A147" t="s">
        <v>316</v>
      </c>
      <c r="B147" t="s">
        <v>601</v>
      </c>
      <c r="C147" t="s">
        <v>450</v>
      </c>
      <c r="D147" t="s">
        <v>19</v>
      </c>
      <c r="E147" s="1">
        <v>45373</v>
      </c>
      <c r="F147" s="2">
        <v>0.70833333333333337</v>
      </c>
      <c r="G147" t="s">
        <v>433</v>
      </c>
    </row>
    <row r="148" spans="1:7" x14ac:dyDescent="0.3">
      <c r="A148" t="s">
        <v>318</v>
      </c>
      <c r="B148" t="s">
        <v>602</v>
      </c>
      <c r="C148" t="s">
        <v>540</v>
      </c>
      <c r="D148" t="s">
        <v>23</v>
      </c>
      <c r="E148" s="1">
        <v>45613</v>
      </c>
      <c r="F148" s="2">
        <v>0.5625</v>
      </c>
      <c r="G148" t="s">
        <v>433</v>
      </c>
    </row>
    <row r="149" spans="1:7" x14ac:dyDescent="0.3">
      <c r="A149" t="s">
        <v>320</v>
      </c>
      <c r="B149" t="s">
        <v>603</v>
      </c>
      <c r="C149" t="s">
        <v>471</v>
      </c>
      <c r="D149" t="s">
        <v>70</v>
      </c>
      <c r="E149" s="1">
        <v>45335</v>
      </c>
      <c r="F149" s="2">
        <v>0.35416666666666669</v>
      </c>
      <c r="G149" t="s">
        <v>433</v>
      </c>
    </row>
    <row r="150" spans="1:7" x14ac:dyDescent="0.3">
      <c r="A150" t="s">
        <v>322</v>
      </c>
      <c r="B150" t="s">
        <v>604</v>
      </c>
      <c r="C150" t="s">
        <v>454</v>
      </c>
      <c r="D150" t="s">
        <v>8</v>
      </c>
      <c r="E150" s="1">
        <v>45448</v>
      </c>
      <c r="F150" s="2">
        <v>0.52083333333333337</v>
      </c>
      <c r="G150" t="s">
        <v>436</v>
      </c>
    </row>
    <row r="151" spans="1:7" x14ac:dyDescent="0.3">
      <c r="A151" t="s">
        <v>324</v>
      </c>
      <c r="B151" t="s">
        <v>605</v>
      </c>
      <c r="C151" t="s">
        <v>495</v>
      </c>
      <c r="D151" t="s">
        <v>8</v>
      </c>
      <c r="E151" s="1">
        <v>45616</v>
      </c>
      <c r="F151" s="2">
        <v>0.58333333333333337</v>
      </c>
      <c r="G151" t="s">
        <v>441</v>
      </c>
    </row>
    <row r="152" spans="1:7" x14ac:dyDescent="0.3">
      <c r="A152" t="s">
        <v>326</v>
      </c>
      <c r="B152" t="s">
        <v>606</v>
      </c>
      <c r="C152" t="s">
        <v>497</v>
      </c>
      <c r="D152" t="s">
        <v>12</v>
      </c>
      <c r="E152" s="1">
        <v>45594</v>
      </c>
      <c r="F152" s="2">
        <v>0.64583333333333337</v>
      </c>
      <c r="G152" t="s">
        <v>433</v>
      </c>
    </row>
    <row r="153" spans="1:7" x14ac:dyDescent="0.3">
      <c r="A153" t="s">
        <v>328</v>
      </c>
      <c r="B153" t="s">
        <v>607</v>
      </c>
      <c r="C153" t="s">
        <v>474</v>
      </c>
      <c r="D153" t="s">
        <v>23</v>
      </c>
      <c r="E153" s="1">
        <v>45619</v>
      </c>
      <c r="F153" s="2">
        <v>0.54166666666666663</v>
      </c>
      <c r="G153" t="s">
        <v>433</v>
      </c>
    </row>
    <row r="154" spans="1:7" x14ac:dyDescent="0.3">
      <c r="A154" t="s">
        <v>330</v>
      </c>
      <c r="B154" t="s">
        <v>608</v>
      </c>
      <c r="C154" t="s">
        <v>503</v>
      </c>
      <c r="D154" t="s">
        <v>23</v>
      </c>
      <c r="E154" s="1">
        <v>45348</v>
      </c>
      <c r="F154" s="2">
        <v>0.4375</v>
      </c>
      <c r="G154" t="s">
        <v>438</v>
      </c>
    </row>
    <row r="155" spans="1:7" x14ac:dyDescent="0.3">
      <c r="A155" t="s">
        <v>332</v>
      </c>
      <c r="B155" t="s">
        <v>609</v>
      </c>
      <c r="C155" t="s">
        <v>432</v>
      </c>
      <c r="D155" t="s">
        <v>19</v>
      </c>
      <c r="E155" s="1">
        <v>45504</v>
      </c>
      <c r="F155" s="2">
        <v>0.5</v>
      </c>
      <c r="G155" t="s">
        <v>433</v>
      </c>
    </row>
    <row r="156" spans="1:7" x14ac:dyDescent="0.3">
      <c r="A156" t="s">
        <v>334</v>
      </c>
      <c r="B156" t="s">
        <v>610</v>
      </c>
      <c r="C156" t="s">
        <v>540</v>
      </c>
      <c r="D156" t="s">
        <v>8</v>
      </c>
      <c r="E156" s="1">
        <v>45558</v>
      </c>
      <c r="F156" s="2">
        <v>0.5</v>
      </c>
      <c r="G156" t="s">
        <v>436</v>
      </c>
    </row>
    <row r="157" spans="1:7" x14ac:dyDescent="0.3">
      <c r="A157" t="s">
        <v>336</v>
      </c>
      <c r="B157" t="s">
        <v>611</v>
      </c>
      <c r="C157" t="s">
        <v>521</v>
      </c>
      <c r="D157" t="s">
        <v>8</v>
      </c>
      <c r="E157" s="1">
        <v>45325</v>
      </c>
      <c r="F157" s="2">
        <v>0.39583333333333331</v>
      </c>
      <c r="G157" t="s">
        <v>436</v>
      </c>
    </row>
    <row r="158" spans="1:7" x14ac:dyDescent="0.3">
      <c r="A158" t="s">
        <v>338</v>
      </c>
      <c r="B158" t="s">
        <v>612</v>
      </c>
      <c r="C158" t="s">
        <v>465</v>
      </c>
      <c r="D158" t="s">
        <v>23</v>
      </c>
      <c r="E158" s="1">
        <v>45387</v>
      </c>
      <c r="F158" s="2">
        <v>0.75</v>
      </c>
      <c r="G158" t="s">
        <v>436</v>
      </c>
    </row>
    <row r="159" spans="1:7" x14ac:dyDescent="0.3">
      <c r="A159" t="s">
        <v>340</v>
      </c>
      <c r="B159" t="s">
        <v>613</v>
      </c>
      <c r="C159" t="s">
        <v>555</v>
      </c>
      <c r="D159" t="s">
        <v>19</v>
      </c>
      <c r="E159" s="1">
        <v>45341</v>
      </c>
      <c r="F159" s="2">
        <v>0.33333333333333331</v>
      </c>
      <c r="G159" t="s">
        <v>436</v>
      </c>
    </row>
    <row r="160" spans="1:7" x14ac:dyDescent="0.3">
      <c r="A160" t="s">
        <v>342</v>
      </c>
      <c r="B160" t="s">
        <v>614</v>
      </c>
      <c r="C160" t="s">
        <v>495</v>
      </c>
      <c r="D160" t="s">
        <v>23</v>
      </c>
      <c r="E160" s="1">
        <v>45565</v>
      </c>
      <c r="F160" s="2">
        <v>0.58333333333333337</v>
      </c>
      <c r="G160" t="s">
        <v>433</v>
      </c>
    </row>
    <row r="161" spans="1:7" x14ac:dyDescent="0.3">
      <c r="A161" t="s">
        <v>344</v>
      </c>
      <c r="B161" t="s">
        <v>615</v>
      </c>
      <c r="C161" t="s">
        <v>444</v>
      </c>
      <c r="D161" t="s">
        <v>23</v>
      </c>
      <c r="E161" s="1">
        <v>45481</v>
      </c>
      <c r="F161" s="2">
        <v>0.60416666666666663</v>
      </c>
      <c r="G161" t="s">
        <v>441</v>
      </c>
    </row>
    <row r="162" spans="1:7" x14ac:dyDescent="0.3">
      <c r="A162" t="s">
        <v>346</v>
      </c>
      <c r="B162" t="s">
        <v>616</v>
      </c>
      <c r="C162" t="s">
        <v>432</v>
      </c>
      <c r="D162" t="s">
        <v>65</v>
      </c>
      <c r="E162" s="1">
        <v>45619</v>
      </c>
      <c r="F162" s="2">
        <v>0.625</v>
      </c>
      <c r="G162" t="s">
        <v>436</v>
      </c>
    </row>
    <row r="163" spans="1:7" x14ac:dyDescent="0.3">
      <c r="A163" t="s">
        <v>348</v>
      </c>
      <c r="B163" t="s">
        <v>864</v>
      </c>
      <c r="C163" t="s">
        <v>482</v>
      </c>
      <c r="D163" t="s">
        <v>65</v>
      </c>
      <c r="E163" s="1">
        <v>45305</v>
      </c>
      <c r="F163" s="2" t="s">
        <v>864</v>
      </c>
      <c r="G163" t="s">
        <v>864</v>
      </c>
    </row>
    <row r="164" spans="1:7" x14ac:dyDescent="0.3">
      <c r="A164" t="s">
        <v>350</v>
      </c>
      <c r="B164" t="s">
        <v>617</v>
      </c>
      <c r="C164" t="s">
        <v>452</v>
      </c>
      <c r="D164" t="s">
        <v>23</v>
      </c>
      <c r="E164" s="1">
        <v>45474</v>
      </c>
      <c r="F164" s="2">
        <v>0.52083333333333337</v>
      </c>
      <c r="G164" t="s">
        <v>438</v>
      </c>
    </row>
    <row r="165" spans="1:7" x14ac:dyDescent="0.3">
      <c r="A165" t="s">
        <v>352</v>
      </c>
      <c r="B165" t="s">
        <v>618</v>
      </c>
      <c r="C165" t="s">
        <v>465</v>
      </c>
      <c r="D165" t="s">
        <v>12</v>
      </c>
      <c r="E165" s="1">
        <v>45337</v>
      </c>
      <c r="F165" s="2">
        <v>0.45833333333333331</v>
      </c>
      <c r="G165" t="s">
        <v>441</v>
      </c>
    </row>
    <row r="166" spans="1:7" x14ac:dyDescent="0.3">
      <c r="A166" t="s">
        <v>354</v>
      </c>
      <c r="B166" t="s">
        <v>619</v>
      </c>
      <c r="C166" t="s">
        <v>503</v>
      </c>
      <c r="D166" t="s">
        <v>70</v>
      </c>
      <c r="E166" s="1">
        <v>45405</v>
      </c>
      <c r="F166" s="2">
        <v>0.45833333333333331</v>
      </c>
      <c r="G166" t="s">
        <v>438</v>
      </c>
    </row>
    <row r="167" spans="1:7" x14ac:dyDescent="0.3">
      <c r="A167" t="s">
        <v>356</v>
      </c>
      <c r="B167" t="s">
        <v>620</v>
      </c>
      <c r="C167" t="s">
        <v>499</v>
      </c>
      <c r="D167" t="s">
        <v>12</v>
      </c>
      <c r="E167" s="1">
        <v>45434</v>
      </c>
      <c r="F167" s="2">
        <v>0.45833333333333331</v>
      </c>
      <c r="G167" t="s">
        <v>438</v>
      </c>
    </row>
    <row r="168" spans="1:7" x14ac:dyDescent="0.3">
      <c r="A168" t="s">
        <v>358</v>
      </c>
      <c r="B168" t="s">
        <v>621</v>
      </c>
      <c r="C168" t="s">
        <v>495</v>
      </c>
      <c r="D168" t="s">
        <v>12</v>
      </c>
      <c r="E168" s="1">
        <v>45474</v>
      </c>
      <c r="F168" s="2">
        <v>0.72916666666666663</v>
      </c>
      <c r="G168" t="s">
        <v>433</v>
      </c>
    </row>
    <row r="169" spans="1:7" x14ac:dyDescent="0.3">
      <c r="A169" t="s">
        <v>360</v>
      </c>
      <c r="B169" t="s">
        <v>622</v>
      </c>
      <c r="C169" t="s">
        <v>463</v>
      </c>
      <c r="D169" t="s">
        <v>65</v>
      </c>
      <c r="E169" s="1">
        <v>45501</v>
      </c>
      <c r="F169" s="2">
        <v>0.70833333333333337</v>
      </c>
      <c r="G169" t="s">
        <v>438</v>
      </c>
    </row>
    <row r="170" spans="1:7" x14ac:dyDescent="0.3">
      <c r="A170" t="s">
        <v>362</v>
      </c>
      <c r="B170" t="s">
        <v>623</v>
      </c>
      <c r="C170" t="s">
        <v>555</v>
      </c>
      <c r="D170" t="s">
        <v>8</v>
      </c>
      <c r="E170" s="1">
        <v>45613</v>
      </c>
      <c r="F170" s="2">
        <v>0.33333333333333331</v>
      </c>
      <c r="G170" t="s">
        <v>436</v>
      </c>
    </row>
    <row r="171" spans="1:7" x14ac:dyDescent="0.3">
      <c r="A171" t="s">
        <v>364</v>
      </c>
      <c r="B171" t="s">
        <v>624</v>
      </c>
      <c r="C171" t="s">
        <v>512</v>
      </c>
      <c r="D171" t="s">
        <v>65</v>
      </c>
      <c r="E171" s="1">
        <v>45368</v>
      </c>
      <c r="F171" s="2">
        <v>0.75</v>
      </c>
      <c r="G171" t="s">
        <v>441</v>
      </c>
    </row>
    <row r="172" spans="1:7" x14ac:dyDescent="0.3">
      <c r="A172" t="s">
        <v>366</v>
      </c>
      <c r="B172" t="s">
        <v>625</v>
      </c>
      <c r="C172" t="s">
        <v>474</v>
      </c>
      <c r="D172" t="s">
        <v>65</v>
      </c>
      <c r="E172" s="1">
        <v>45354</v>
      </c>
      <c r="F172" s="2">
        <v>0.625</v>
      </c>
      <c r="G172" t="s">
        <v>438</v>
      </c>
    </row>
    <row r="173" spans="1:7" x14ac:dyDescent="0.3">
      <c r="A173" t="s">
        <v>368</v>
      </c>
      <c r="B173" t="s">
        <v>626</v>
      </c>
      <c r="C173" t="s">
        <v>448</v>
      </c>
      <c r="D173" t="s">
        <v>8</v>
      </c>
      <c r="E173" s="1">
        <v>45421</v>
      </c>
      <c r="F173" s="2">
        <v>0.33333333333333331</v>
      </c>
      <c r="G173" t="s">
        <v>436</v>
      </c>
    </row>
    <row r="174" spans="1:7" x14ac:dyDescent="0.3">
      <c r="A174" t="s">
        <v>370</v>
      </c>
      <c r="B174" t="s">
        <v>627</v>
      </c>
      <c r="C174" t="s">
        <v>493</v>
      </c>
      <c r="D174" t="s">
        <v>8</v>
      </c>
      <c r="E174" s="1">
        <v>45437</v>
      </c>
      <c r="F174" s="2">
        <v>0.54166666666666663</v>
      </c>
      <c r="G174" t="s">
        <v>438</v>
      </c>
    </row>
    <row r="175" spans="1:7" x14ac:dyDescent="0.3">
      <c r="A175" t="s">
        <v>372</v>
      </c>
      <c r="B175" t="s">
        <v>628</v>
      </c>
      <c r="C175" t="s">
        <v>430</v>
      </c>
      <c r="D175" t="s">
        <v>23</v>
      </c>
      <c r="E175" s="1">
        <v>45598</v>
      </c>
      <c r="F175" s="2">
        <v>0.33333333333333331</v>
      </c>
      <c r="G175" t="s">
        <v>438</v>
      </c>
    </row>
    <row r="176" spans="1:7" x14ac:dyDescent="0.3">
      <c r="A176" t="s">
        <v>374</v>
      </c>
      <c r="B176" t="s">
        <v>629</v>
      </c>
      <c r="C176" t="s">
        <v>479</v>
      </c>
      <c r="D176" t="s">
        <v>23</v>
      </c>
      <c r="E176" s="1">
        <v>45446</v>
      </c>
      <c r="F176" s="2">
        <v>0.39583333333333331</v>
      </c>
      <c r="G176" t="s">
        <v>436</v>
      </c>
    </row>
    <row r="177" spans="1:7" x14ac:dyDescent="0.3">
      <c r="A177" t="s">
        <v>376</v>
      </c>
      <c r="B177" t="s">
        <v>630</v>
      </c>
      <c r="C177" t="s">
        <v>446</v>
      </c>
      <c r="D177" t="s">
        <v>8</v>
      </c>
      <c r="E177" s="1">
        <v>45343</v>
      </c>
      <c r="F177" s="2">
        <v>0.625</v>
      </c>
      <c r="G177" t="s">
        <v>441</v>
      </c>
    </row>
    <row r="178" spans="1:7" x14ac:dyDescent="0.3">
      <c r="A178" t="s">
        <v>378</v>
      </c>
      <c r="B178" t="s">
        <v>631</v>
      </c>
      <c r="C178" t="s">
        <v>485</v>
      </c>
      <c r="D178" t="s">
        <v>8</v>
      </c>
      <c r="E178" s="1">
        <v>45595</v>
      </c>
      <c r="F178" s="2">
        <v>0.66666666666666663</v>
      </c>
      <c r="G178" t="s">
        <v>433</v>
      </c>
    </row>
    <row r="179" spans="1:7" x14ac:dyDescent="0.3">
      <c r="A179" t="s">
        <v>380</v>
      </c>
      <c r="B179" t="s">
        <v>632</v>
      </c>
      <c r="C179" t="s">
        <v>485</v>
      </c>
      <c r="D179" t="s">
        <v>23</v>
      </c>
      <c r="E179" s="1">
        <v>45358</v>
      </c>
      <c r="F179" s="2">
        <v>0.375</v>
      </c>
      <c r="G179" t="s">
        <v>438</v>
      </c>
    </row>
    <row r="180" spans="1:7" x14ac:dyDescent="0.3">
      <c r="A180" t="s">
        <v>382</v>
      </c>
      <c r="B180" t="s">
        <v>633</v>
      </c>
      <c r="C180" t="s">
        <v>471</v>
      </c>
      <c r="D180" t="s">
        <v>23</v>
      </c>
      <c r="E180" s="1">
        <v>45349</v>
      </c>
      <c r="F180" s="2">
        <v>0.60416666666666663</v>
      </c>
      <c r="G180" t="s">
        <v>438</v>
      </c>
    </row>
    <row r="181" spans="1:7" x14ac:dyDescent="0.3">
      <c r="A181" t="s">
        <v>384</v>
      </c>
      <c r="B181" t="s">
        <v>634</v>
      </c>
      <c r="C181" t="s">
        <v>493</v>
      </c>
      <c r="D181" t="s">
        <v>70</v>
      </c>
      <c r="E181" s="1">
        <v>45507</v>
      </c>
      <c r="F181" s="2">
        <v>0.5</v>
      </c>
      <c r="G181" t="s">
        <v>441</v>
      </c>
    </row>
    <row r="182" spans="1:7" x14ac:dyDescent="0.3">
      <c r="A182" t="s">
        <v>386</v>
      </c>
      <c r="B182" t="s">
        <v>635</v>
      </c>
      <c r="C182" t="s">
        <v>474</v>
      </c>
      <c r="D182" t="s">
        <v>19</v>
      </c>
      <c r="E182" s="1">
        <v>45483</v>
      </c>
      <c r="F182" s="2">
        <v>0.77083333333333337</v>
      </c>
      <c r="G182" t="s">
        <v>441</v>
      </c>
    </row>
    <row r="183" spans="1:7" x14ac:dyDescent="0.3">
      <c r="A183" t="s">
        <v>388</v>
      </c>
      <c r="B183" t="s">
        <v>636</v>
      </c>
      <c r="C183" t="s">
        <v>463</v>
      </c>
      <c r="D183" t="s">
        <v>23</v>
      </c>
      <c r="E183" s="1">
        <v>45472</v>
      </c>
      <c r="F183" s="2">
        <v>0.33333333333333331</v>
      </c>
      <c r="G183" t="s">
        <v>436</v>
      </c>
    </row>
    <row r="184" spans="1:7" x14ac:dyDescent="0.3">
      <c r="A184" t="s">
        <v>390</v>
      </c>
      <c r="B184" t="s">
        <v>637</v>
      </c>
      <c r="C184" t="s">
        <v>482</v>
      </c>
      <c r="D184" t="s">
        <v>65</v>
      </c>
      <c r="E184" s="1">
        <v>45388</v>
      </c>
      <c r="F184" s="2">
        <v>0.5</v>
      </c>
      <c r="G184" t="s">
        <v>433</v>
      </c>
    </row>
    <row r="185" spans="1:7" x14ac:dyDescent="0.3">
      <c r="A185" t="s">
        <v>392</v>
      </c>
      <c r="B185" t="s">
        <v>638</v>
      </c>
      <c r="C185" t="s">
        <v>444</v>
      </c>
      <c r="D185" t="s">
        <v>8</v>
      </c>
      <c r="E185" s="1">
        <v>45390</v>
      </c>
      <c r="F185" s="2">
        <v>0.35416666666666669</v>
      </c>
      <c r="G185" t="s">
        <v>441</v>
      </c>
    </row>
    <row r="186" spans="1:7" x14ac:dyDescent="0.3">
      <c r="A186" t="s">
        <v>394</v>
      </c>
      <c r="B186" t="s">
        <v>639</v>
      </c>
      <c r="C186" t="s">
        <v>444</v>
      </c>
      <c r="D186" t="s">
        <v>19</v>
      </c>
      <c r="E186" s="1">
        <v>45294</v>
      </c>
      <c r="F186" s="2">
        <v>0.5</v>
      </c>
      <c r="G186" t="s">
        <v>436</v>
      </c>
    </row>
    <row r="187" spans="1:7" x14ac:dyDescent="0.3">
      <c r="A187" t="s">
        <v>396</v>
      </c>
      <c r="B187" t="s">
        <v>640</v>
      </c>
      <c r="C187" t="s">
        <v>470</v>
      </c>
      <c r="D187" t="s">
        <v>19</v>
      </c>
      <c r="E187" s="1">
        <v>45573</v>
      </c>
      <c r="F187" s="2">
        <v>0.6875</v>
      </c>
      <c r="G187" t="s">
        <v>436</v>
      </c>
    </row>
    <row r="188" spans="1:7" x14ac:dyDescent="0.3">
      <c r="A188" t="s">
        <v>398</v>
      </c>
      <c r="B188" t="s">
        <v>864</v>
      </c>
      <c r="C188" t="s">
        <v>463</v>
      </c>
      <c r="D188" t="s">
        <v>70</v>
      </c>
      <c r="E188" s="1">
        <v>45480</v>
      </c>
      <c r="F188" s="2" t="s">
        <v>864</v>
      </c>
      <c r="G188" t="s">
        <v>864</v>
      </c>
    </row>
    <row r="189" spans="1:7" x14ac:dyDescent="0.3">
      <c r="A189" t="s">
        <v>400</v>
      </c>
      <c r="B189" t="s">
        <v>641</v>
      </c>
      <c r="C189" t="s">
        <v>479</v>
      </c>
      <c r="D189" t="s">
        <v>19</v>
      </c>
      <c r="E189" s="1">
        <v>45543</v>
      </c>
      <c r="F189" s="2">
        <v>0.33333333333333331</v>
      </c>
      <c r="G189" t="s">
        <v>433</v>
      </c>
    </row>
    <row r="190" spans="1:7" x14ac:dyDescent="0.3">
      <c r="A190" t="s">
        <v>402</v>
      </c>
      <c r="B190" t="s">
        <v>642</v>
      </c>
      <c r="C190" t="s">
        <v>474</v>
      </c>
      <c r="D190" t="s">
        <v>65</v>
      </c>
      <c r="E190" s="1">
        <v>45319</v>
      </c>
      <c r="F190" s="2">
        <v>0.66666666666666663</v>
      </c>
      <c r="G190" t="s">
        <v>436</v>
      </c>
    </row>
    <row r="191" spans="1:7" x14ac:dyDescent="0.3">
      <c r="A191" t="s">
        <v>404</v>
      </c>
      <c r="B191" t="s">
        <v>643</v>
      </c>
      <c r="C191" t="s">
        <v>440</v>
      </c>
      <c r="D191" t="s">
        <v>19</v>
      </c>
      <c r="E191" s="1">
        <v>45427</v>
      </c>
      <c r="F191" s="2">
        <v>0.60416666666666663</v>
      </c>
      <c r="G191" t="s">
        <v>433</v>
      </c>
    </row>
    <row r="192" spans="1:7" x14ac:dyDescent="0.3">
      <c r="A192" t="s">
        <v>406</v>
      </c>
      <c r="B192" t="s">
        <v>644</v>
      </c>
      <c r="C192" t="s">
        <v>476</v>
      </c>
      <c r="D192" t="s">
        <v>65</v>
      </c>
      <c r="E192" s="1">
        <v>45455</v>
      </c>
      <c r="F192" s="2">
        <v>0.66666666666666663</v>
      </c>
      <c r="G192" t="s">
        <v>441</v>
      </c>
    </row>
    <row r="193" spans="1:7" x14ac:dyDescent="0.3">
      <c r="A193" t="s">
        <v>408</v>
      </c>
      <c r="B193" t="s">
        <v>645</v>
      </c>
      <c r="C193" t="s">
        <v>467</v>
      </c>
      <c r="D193" t="s">
        <v>70</v>
      </c>
      <c r="E193" s="1">
        <v>45364</v>
      </c>
      <c r="F193" s="2">
        <v>0.58333333333333337</v>
      </c>
      <c r="G193" t="s">
        <v>433</v>
      </c>
    </row>
    <row r="194" spans="1:7" x14ac:dyDescent="0.3">
      <c r="A194" t="s">
        <v>410</v>
      </c>
      <c r="B194" t="s">
        <v>646</v>
      </c>
      <c r="C194" t="s">
        <v>495</v>
      </c>
      <c r="D194" t="s">
        <v>8</v>
      </c>
      <c r="E194" s="1">
        <v>45435</v>
      </c>
      <c r="F194" s="2">
        <v>0.64583333333333337</v>
      </c>
      <c r="G194" t="s">
        <v>433</v>
      </c>
    </row>
    <row r="195" spans="1:7" x14ac:dyDescent="0.3">
      <c r="A195" t="s">
        <v>412</v>
      </c>
      <c r="B195" t="s">
        <v>647</v>
      </c>
      <c r="C195" t="s">
        <v>446</v>
      </c>
      <c r="D195" t="s">
        <v>8</v>
      </c>
      <c r="E195" s="1">
        <v>45317</v>
      </c>
      <c r="F195" s="2">
        <v>0.60416666666666663</v>
      </c>
      <c r="G195" t="s">
        <v>436</v>
      </c>
    </row>
    <row r="196" spans="1:7" x14ac:dyDescent="0.3">
      <c r="A196" t="s">
        <v>414</v>
      </c>
      <c r="B196" t="s">
        <v>648</v>
      </c>
      <c r="C196" t="s">
        <v>493</v>
      </c>
      <c r="D196" t="s">
        <v>19</v>
      </c>
      <c r="E196" s="1">
        <v>45527</v>
      </c>
      <c r="F196" s="2">
        <v>0.45833333333333331</v>
      </c>
      <c r="G196" t="s">
        <v>441</v>
      </c>
    </row>
    <row r="197" spans="1:7" x14ac:dyDescent="0.3">
      <c r="A197" t="s">
        <v>416</v>
      </c>
      <c r="B197" t="s">
        <v>649</v>
      </c>
      <c r="C197" t="s">
        <v>476</v>
      </c>
      <c r="D197" t="s">
        <v>70</v>
      </c>
      <c r="E197" s="1">
        <v>45377</v>
      </c>
      <c r="F197" s="2">
        <v>0.39583333333333331</v>
      </c>
      <c r="G197" t="s">
        <v>441</v>
      </c>
    </row>
    <row r="198" spans="1:7" x14ac:dyDescent="0.3">
      <c r="A198" t="s">
        <v>418</v>
      </c>
      <c r="B198" t="s">
        <v>650</v>
      </c>
      <c r="C198" t="s">
        <v>465</v>
      </c>
      <c r="D198" t="s">
        <v>70</v>
      </c>
      <c r="E198" s="1">
        <v>45645</v>
      </c>
      <c r="F198" s="2">
        <v>0.375</v>
      </c>
      <c r="G198" t="s">
        <v>433</v>
      </c>
    </row>
    <row r="199" spans="1:7" x14ac:dyDescent="0.3">
      <c r="A199" t="s">
        <v>420</v>
      </c>
      <c r="B199" t="s">
        <v>651</v>
      </c>
      <c r="C199" t="s">
        <v>503</v>
      </c>
      <c r="D199" t="s">
        <v>65</v>
      </c>
      <c r="E199" s="1">
        <v>45368</v>
      </c>
      <c r="F199" s="2">
        <v>0.375</v>
      </c>
      <c r="G199" t="s">
        <v>433</v>
      </c>
    </row>
    <row r="200" spans="1:7" x14ac:dyDescent="0.3">
      <c r="A200" t="s">
        <v>422</v>
      </c>
      <c r="B200" t="s">
        <v>652</v>
      </c>
      <c r="C200" t="s">
        <v>446</v>
      </c>
      <c r="D200" t="s">
        <v>65</v>
      </c>
      <c r="E200" s="1">
        <v>45432</v>
      </c>
      <c r="F200" s="2">
        <v>0.47916666666666669</v>
      </c>
      <c r="G200" t="s">
        <v>433</v>
      </c>
    </row>
    <row r="201" spans="1:7" x14ac:dyDescent="0.3">
      <c r="A201" t="s">
        <v>424</v>
      </c>
      <c r="B201" t="s">
        <v>653</v>
      </c>
      <c r="C201" t="s">
        <v>482</v>
      </c>
      <c r="D201" t="s">
        <v>8</v>
      </c>
      <c r="E201" s="1">
        <v>45568</v>
      </c>
      <c r="F201" s="2">
        <v>0.47916666666666669</v>
      </c>
      <c r="G201" t="s">
        <v>441</v>
      </c>
    </row>
  </sheetData>
  <conditionalFormatting sqref="A1:A201 C1:G201">
    <cfRule type="containsBlanks" dxfId="2" priority="2">
      <formula>LEN(TRIM(A1))=0</formula>
    </cfRule>
  </conditionalFormatting>
  <conditionalFormatting sqref="B1:B201">
    <cfRule type="containsBlanks" dxfId="0" priority="1">
      <formula>LEN(TRIM(B1))=0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E04D-C7D5-4E0A-B495-C04D77F829F0}">
  <dimension ref="A1:F201"/>
  <sheetViews>
    <sheetView workbookViewId="0">
      <selection activeCell="A196" sqref="A196"/>
    </sheetView>
  </sheetViews>
  <sheetFormatPr defaultRowHeight="14.4" x14ac:dyDescent="0.3"/>
  <cols>
    <col min="1" max="1" width="10.33203125" bestFit="1" customWidth="1"/>
    <col min="2" max="2" width="15.33203125" bestFit="1" customWidth="1"/>
    <col min="3" max="3" width="12.44140625" bestFit="1" customWidth="1"/>
    <col min="4" max="4" width="10.77734375" bestFit="1" customWidth="1"/>
    <col min="5" max="5" width="10.33203125" bestFit="1" customWidth="1"/>
    <col min="6" max="6" width="17.33203125" bestFit="1" customWidth="1"/>
  </cols>
  <sheetData>
    <row r="1" spans="1:6" x14ac:dyDescent="0.3">
      <c r="A1" t="s">
        <v>654</v>
      </c>
      <c r="B1" t="s">
        <v>2</v>
      </c>
      <c r="C1" t="s">
        <v>655</v>
      </c>
      <c r="D1" t="s">
        <v>656</v>
      </c>
      <c r="E1" t="s">
        <v>427</v>
      </c>
      <c r="F1" t="s">
        <v>657</v>
      </c>
    </row>
    <row r="2" spans="1:6" x14ac:dyDescent="0.3">
      <c r="A2" t="s">
        <v>658</v>
      </c>
      <c r="B2" t="s">
        <v>8</v>
      </c>
      <c r="C2" t="s">
        <v>659</v>
      </c>
      <c r="D2">
        <v>2</v>
      </c>
      <c r="E2" s="1">
        <v>45501</v>
      </c>
      <c r="F2" t="s">
        <v>660</v>
      </c>
    </row>
    <row r="3" spans="1:6" x14ac:dyDescent="0.3">
      <c r="A3" t="s">
        <v>661</v>
      </c>
      <c r="B3" t="s">
        <v>12</v>
      </c>
      <c r="C3" t="s">
        <v>662</v>
      </c>
      <c r="D3">
        <v>9</v>
      </c>
      <c r="E3" s="1">
        <v>45545</v>
      </c>
      <c r="F3" t="s">
        <v>660</v>
      </c>
    </row>
    <row r="4" spans="1:6" x14ac:dyDescent="0.3">
      <c r="A4" t="s">
        <v>663</v>
      </c>
      <c r="B4" t="s">
        <v>70</v>
      </c>
      <c r="C4" t="s">
        <v>664</v>
      </c>
      <c r="D4">
        <v>5</v>
      </c>
      <c r="E4" s="1">
        <v>45643</v>
      </c>
      <c r="F4" t="s">
        <v>665</v>
      </c>
    </row>
    <row r="5" spans="1:6" x14ac:dyDescent="0.3">
      <c r="A5" t="s">
        <v>666</v>
      </c>
      <c r="B5" t="s">
        <v>19</v>
      </c>
      <c r="C5" t="s">
        <v>662</v>
      </c>
      <c r="D5">
        <v>9</v>
      </c>
      <c r="E5" s="1">
        <v>45482</v>
      </c>
      <c r="F5" t="s">
        <v>660</v>
      </c>
    </row>
    <row r="6" spans="1:6" x14ac:dyDescent="0.3">
      <c r="A6" t="s">
        <v>667</v>
      </c>
      <c r="B6" t="s">
        <v>864</v>
      </c>
      <c r="C6" t="s">
        <v>664</v>
      </c>
      <c r="D6">
        <v>0</v>
      </c>
      <c r="E6" t="s">
        <v>864</v>
      </c>
      <c r="F6" t="s">
        <v>668</v>
      </c>
    </row>
    <row r="7" spans="1:6" x14ac:dyDescent="0.3">
      <c r="A7" t="s">
        <v>669</v>
      </c>
      <c r="B7" t="s">
        <v>65</v>
      </c>
      <c r="C7" t="s">
        <v>662</v>
      </c>
      <c r="D7">
        <v>4</v>
      </c>
      <c r="E7" s="1">
        <v>45357</v>
      </c>
      <c r="F7" t="s">
        <v>660</v>
      </c>
    </row>
    <row r="8" spans="1:6" x14ac:dyDescent="0.3">
      <c r="A8" t="s">
        <v>670</v>
      </c>
      <c r="B8" t="s">
        <v>8</v>
      </c>
      <c r="C8" t="s">
        <v>659</v>
      </c>
      <c r="D8">
        <v>0</v>
      </c>
      <c r="E8" s="1">
        <v>45383</v>
      </c>
      <c r="F8" t="s">
        <v>668</v>
      </c>
    </row>
    <row r="9" spans="1:6" x14ac:dyDescent="0.3">
      <c r="A9" t="s">
        <v>671</v>
      </c>
      <c r="B9" t="s">
        <v>19</v>
      </c>
      <c r="C9" t="s">
        <v>664</v>
      </c>
      <c r="D9">
        <v>1</v>
      </c>
      <c r="E9" s="1">
        <v>45581</v>
      </c>
      <c r="F9" t="s">
        <v>668</v>
      </c>
    </row>
    <row r="10" spans="1:6" x14ac:dyDescent="0.3">
      <c r="A10" t="s">
        <v>672</v>
      </c>
      <c r="B10" t="s">
        <v>65</v>
      </c>
      <c r="C10" t="s">
        <v>662</v>
      </c>
      <c r="D10">
        <v>8</v>
      </c>
      <c r="E10" s="1">
        <v>45558</v>
      </c>
      <c r="F10" t="s">
        <v>668</v>
      </c>
    </row>
    <row r="11" spans="1:6" x14ac:dyDescent="0.3">
      <c r="A11" t="s">
        <v>673</v>
      </c>
      <c r="B11" t="s">
        <v>8</v>
      </c>
      <c r="C11" t="s">
        <v>674</v>
      </c>
      <c r="D11">
        <v>5</v>
      </c>
      <c r="E11" s="1">
        <v>45395</v>
      </c>
      <c r="F11" t="s">
        <v>660</v>
      </c>
    </row>
    <row r="12" spans="1:6" x14ac:dyDescent="0.3">
      <c r="A12" t="s">
        <v>675</v>
      </c>
      <c r="B12" t="s">
        <v>70</v>
      </c>
      <c r="C12" t="s">
        <v>659</v>
      </c>
      <c r="D12">
        <v>8</v>
      </c>
      <c r="E12" s="1">
        <v>45460</v>
      </c>
      <c r="F12" t="s">
        <v>668</v>
      </c>
    </row>
    <row r="13" spans="1:6" x14ac:dyDescent="0.3">
      <c r="A13" t="s">
        <v>676</v>
      </c>
      <c r="B13" t="s">
        <v>23</v>
      </c>
      <c r="C13" t="s">
        <v>662</v>
      </c>
      <c r="D13">
        <v>0</v>
      </c>
      <c r="E13" s="1">
        <v>45519</v>
      </c>
      <c r="F13" t="s">
        <v>668</v>
      </c>
    </row>
    <row r="14" spans="1:6" x14ac:dyDescent="0.3">
      <c r="A14" t="s">
        <v>677</v>
      </c>
      <c r="B14" t="s">
        <v>19</v>
      </c>
      <c r="C14" t="s">
        <v>662</v>
      </c>
      <c r="D14">
        <v>3</v>
      </c>
      <c r="E14" s="1">
        <v>45416</v>
      </c>
      <c r="F14" t="s">
        <v>668</v>
      </c>
    </row>
    <row r="15" spans="1:6" x14ac:dyDescent="0.3">
      <c r="A15" t="s">
        <v>678</v>
      </c>
      <c r="B15" t="s">
        <v>12</v>
      </c>
      <c r="C15" t="s">
        <v>659</v>
      </c>
      <c r="D15">
        <v>4</v>
      </c>
      <c r="E15" s="1">
        <v>45344</v>
      </c>
      <c r="F15" t="s">
        <v>668</v>
      </c>
    </row>
    <row r="16" spans="1:6" x14ac:dyDescent="0.3">
      <c r="A16" t="s">
        <v>679</v>
      </c>
      <c r="B16" t="s">
        <v>70</v>
      </c>
      <c r="C16" t="s">
        <v>662</v>
      </c>
      <c r="D16">
        <v>7</v>
      </c>
      <c r="E16" s="1">
        <v>45311</v>
      </c>
      <c r="F16" t="s">
        <v>660</v>
      </c>
    </row>
    <row r="17" spans="1:6" x14ac:dyDescent="0.3">
      <c r="A17" t="s">
        <v>680</v>
      </c>
      <c r="B17" t="s">
        <v>19</v>
      </c>
      <c r="C17" t="s">
        <v>674</v>
      </c>
      <c r="D17">
        <v>5</v>
      </c>
      <c r="E17" s="1">
        <v>45589</v>
      </c>
      <c r="F17" t="s">
        <v>668</v>
      </c>
    </row>
    <row r="18" spans="1:6" x14ac:dyDescent="0.3">
      <c r="A18" t="s">
        <v>681</v>
      </c>
      <c r="B18" t="s">
        <v>19</v>
      </c>
      <c r="C18" t="s">
        <v>659</v>
      </c>
      <c r="D18">
        <v>4</v>
      </c>
      <c r="E18" s="1">
        <v>45615</v>
      </c>
      <c r="F18" t="s">
        <v>660</v>
      </c>
    </row>
    <row r="19" spans="1:6" x14ac:dyDescent="0.3">
      <c r="A19" t="s">
        <v>682</v>
      </c>
      <c r="B19" t="s">
        <v>23</v>
      </c>
      <c r="C19" t="s">
        <v>664</v>
      </c>
      <c r="D19">
        <v>0</v>
      </c>
      <c r="E19" s="1">
        <v>45521</v>
      </c>
      <c r="F19" t="s">
        <v>668</v>
      </c>
    </row>
    <row r="20" spans="1:6" x14ac:dyDescent="0.3">
      <c r="A20" t="s">
        <v>683</v>
      </c>
      <c r="B20" t="s">
        <v>19</v>
      </c>
      <c r="C20" t="s">
        <v>662</v>
      </c>
      <c r="D20">
        <v>8</v>
      </c>
      <c r="E20" s="1">
        <v>45476</v>
      </c>
      <c r="F20" t="s">
        <v>660</v>
      </c>
    </row>
    <row r="21" spans="1:6" x14ac:dyDescent="0.3">
      <c r="A21" t="s">
        <v>684</v>
      </c>
      <c r="B21" t="s">
        <v>65</v>
      </c>
      <c r="C21" t="s">
        <v>664</v>
      </c>
      <c r="D21">
        <v>4</v>
      </c>
      <c r="E21" s="1">
        <v>45652</v>
      </c>
      <c r="F21" t="s">
        <v>685</v>
      </c>
    </row>
    <row r="22" spans="1:6" x14ac:dyDescent="0.3">
      <c r="A22" t="s">
        <v>686</v>
      </c>
      <c r="B22" t="s">
        <v>12</v>
      </c>
      <c r="C22" t="s">
        <v>864</v>
      </c>
      <c r="D22">
        <v>0</v>
      </c>
      <c r="E22" t="s">
        <v>864</v>
      </c>
      <c r="F22" t="s">
        <v>660</v>
      </c>
    </row>
    <row r="23" spans="1:6" x14ac:dyDescent="0.3">
      <c r="A23" t="s">
        <v>687</v>
      </c>
      <c r="B23" t="s">
        <v>19</v>
      </c>
      <c r="C23" t="s">
        <v>674</v>
      </c>
      <c r="D23">
        <v>5</v>
      </c>
      <c r="E23" s="1">
        <v>45635</v>
      </c>
      <c r="F23" t="s">
        <v>668</v>
      </c>
    </row>
    <row r="24" spans="1:6" x14ac:dyDescent="0.3">
      <c r="A24" t="s">
        <v>688</v>
      </c>
      <c r="B24" t="s">
        <v>12</v>
      </c>
      <c r="C24" t="s">
        <v>689</v>
      </c>
      <c r="D24">
        <v>3</v>
      </c>
      <c r="E24" s="1">
        <v>45644</v>
      </c>
      <c r="F24" t="s">
        <v>685</v>
      </c>
    </row>
    <row r="25" spans="1:6" x14ac:dyDescent="0.3">
      <c r="A25" t="s">
        <v>690</v>
      </c>
      <c r="B25" t="s">
        <v>70</v>
      </c>
      <c r="C25" t="s">
        <v>662</v>
      </c>
      <c r="D25">
        <v>1</v>
      </c>
      <c r="E25" s="1">
        <v>45641</v>
      </c>
      <c r="F25" t="s">
        <v>660</v>
      </c>
    </row>
    <row r="26" spans="1:6" x14ac:dyDescent="0.3">
      <c r="A26" t="s">
        <v>691</v>
      </c>
      <c r="B26" t="s">
        <v>8</v>
      </c>
      <c r="C26" t="s">
        <v>674</v>
      </c>
      <c r="D26">
        <v>8</v>
      </c>
      <c r="E26" s="1">
        <v>45392</v>
      </c>
      <c r="F26" t="s">
        <v>668</v>
      </c>
    </row>
    <row r="27" spans="1:6" x14ac:dyDescent="0.3">
      <c r="A27" t="s">
        <v>692</v>
      </c>
      <c r="B27" t="s">
        <v>70</v>
      </c>
      <c r="C27" t="s">
        <v>664</v>
      </c>
      <c r="D27">
        <v>7</v>
      </c>
      <c r="E27" s="1">
        <v>45558</v>
      </c>
      <c r="F27" t="s">
        <v>665</v>
      </c>
    </row>
    <row r="28" spans="1:6" x14ac:dyDescent="0.3">
      <c r="A28" t="s">
        <v>693</v>
      </c>
      <c r="B28" t="s">
        <v>19</v>
      </c>
      <c r="C28" t="s">
        <v>689</v>
      </c>
      <c r="D28">
        <v>5</v>
      </c>
      <c r="E28" s="1">
        <v>45486</v>
      </c>
      <c r="F28" t="s">
        <v>665</v>
      </c>
    </row>
    <row r="29" spans="1:6" x14ac:dyDescent="0.3">
      <c r="A29" t="s">
        <v>694</v>
      </c>
      <c r="B29" t="s">
        <v>8</v>
      </c>
      <c r="C29" t="s">
        <v>674</v>
      </c>
      <c r="D29">
        <v>8</v>
      </c>
      <c r="E29" s="1">
        <v>45322</v>
      </c>
      <c r="F29" t="s">
        <v>668</v>
      </c>
    </row>
    <row r="30" spans="1:6" x14ac:dyDescent="0.3">
      <c r="A30" t="s">
        <v>695</v>
      </c>
      <c r="B30" t="s">
        <v>19</v>
      </c>
      <c r="C30" t="s">
        <v>659</v>
      </c>
      <c r="D30">
        <v>9</v>
      </c>
      <c r="E30" s="1">
        <v>45520</v>
      </c>
      <c r="F30" t="s">
        <v>668</v>
      </c>
    </row>
    <row r="31" spans="1:6" x14ac:dyDescent="0.3">
      <c r="A31" t="s">
        <v>696</v>
      </c>
      <c r="B31" t="s">
        <v>65</v>
      </c>
      <c r="C31" t="s">
        <v>664</v>
      </c>
      <c r="D31">
        <v>2</v>
      </c>
      <c r="E31" s="1">
        <v>45622</v>
      </c>
      <c r="F31" t="s">
        <v>685</v>
      </c>
    </row>
    <row r="32" spans="1:6" x14ac:dyDescent="0.3">
      <c r="A32" t="s">
        <v>697</v>
      </c>
      <c r="B32" t="s">
        <v>65</v>
      </c>
      <c r="C32" t="s">
        <v>662</v>
      </c>
      <c r="D32">
        <v>0</v>
      </c>
      <c r="E32" s="1">
        <v>45642</v>
      </c>
      <c r="F32" t="s">
        <v>660</v>
      </c>
    </row>
    <row r="33" spans="1:6" x14ac:dyDescent="0.3">
      <c r="A33" t="s">
        <v>698</v>
      </c>
      <c r="B33" t="s">
        <v>19</v>
      </c>
      <c r="C33" t="s">
        <v>689</v>
      </c>
      <c r="D33">
        <v>5</v>
      </c>
      <c r="E33" s="1">
        <v>45384</v>
      </c>
      <c r="F33" t="s">
        <v>665</v>
      </c>
    </row>
    <row r="34" spans="1:6" x14ac:dyDescent="0.3">
      <c r="A34" t="s">
        <v>699</v>
      </c>
      <c r="B34" t="s">
        <v>12</v>
      </c>
      <c r="C34" t="s">
        <v>664</v>
      </c>
      <c r="D34">
        <v>6</v>
      </c>
      <c r="E34" s="1">
        <v>45446</v>
      </c>
      <c r="F34" t="s">
        <v>665</v>
      </c>
    </row>
    <row r="35" spans="1:6" x14ac:dyDescent="0.3">
      <c r="A35" t="s">
        <v>700</v>
      </c>
      <c r="B35" t="s">
        <v>23</v>
      </c>
      <c r="C35" t="s">
        <v>664</v>
      </c>
      <c r="D35">
        <v>7</v>
      </c>
      <c r="E35" s="1">
        <v>45383</v>
      </c>
      <c r="F35" t="s">
        <v>685</v>
      </c>
    </row>
    <row r="36" spans="1:6" x14ac:dyDescent="0.3">
      <c r="A36" t="s">
        <v>701</v>
      </c>
      <c r="B36" t="s">
        <v>12</v>
      </c>
      <c r="C36" t="s">
        <v>674</v>
      </c>
      <c r="D36">
        <v>0</v>
      </c>
      <c r="E36" s="1">
        <v>45646</v>
      </c>
      <c r="F36" t="s">
        <v>660</v>
      </c>
    </row>
    <row r="37" spans="1:6" x14ac:dyDescent="0.3">
      <c r="A37" t="s">
        <v>702</v>
      </c>
      <c r="B37" t="s">
        <v>70</v>
      </c>
      <c r="C37" t="s">
        <v>689</v>
      </c>
      <c r="D37">
        <v>9</v>
      </c>
      <c r="E37" s="1">
        <v>45647</v>
      </c>
      <c r="F37" t="s">
        <v>665</v>
      </c>
    </row>
    <row r="38" spans="1:6" x14ac:dyDescent="0.3">
      <c r="A38" t="s">
        <v>703</v>
      </c>
      <c r="B38" t="s">
        <v>70</v>
      </c>
      <c r="C38" t="s">
        <v>674</v>
      </c>
      <c r="D38">
        <v>4</v>
      </c>
      <c r="E38" s="1">
        <v>45416</v>
      </c>
      <c r="F38" t="s">
        <v>668</v>
      </c>
    </row>
    <row r="39" spans="1:6" x14ac:dyDescent="0.3">
      <c r="A39" t="s">
        <v>704</v>
      </c>
      <c r="B39" t="s">
        <v>12</v>
      </c>
      <c r="C39" t="s">
        <v>662</v>
      </c>
      <c r="D39">
        <v>8</v>
      </c>
      <c r="E39" s="1">
        <v>45387</v>
      </c>
      <c r="F39" t="s">
        <v>668</v>
      </c>
    </row>
    <row r="40" spans="1:6" x14ac:dyDescent="0.3">
      <c r="A40" t="s">
        <v>705</v>
      </c>
      <c r="B40" t="s">
        <v>23</v>
      </c>
      <c r="C40" t="s">
        <v>664</v>
      </c>
      <c r="D40">
        <v>0</v>
      </c>
      <c r="E40" s="1">
        <v>45372</v>
      </c>
      <c r="F40" t="s">
        <v>685</v>
      </c>
    </row>
    <row r="41" spans="1:6" x14ac:dyDescent="0.3">
      <c r="A41" t="s">
        <v>706</v>
      </c>
      <c r="B41" t="s">
        <v>19</v>
      </c>
      <c r="C41" t="s">
        <v>659</v>
      </c>
      <c r="D41">
        <v>2</v>
      </c>
      <c r="E41" s="1">
        <v>45605</v>
      </c>
      <c r="F41" t="s">
        <v>668</v>
      </c>
    </row>
    <row r="42" spans="1:6" x14ac:dyDescent="0.3">
      <c r="A42" t="s">
        <v>707</v>
      </c>
      <c r="B42" t="s">
        <v>70</v>
      </c>
      <c r="C42" t="s">
        <v>689</v>
      </c>
      <c r="D42">
        <v>4</v>
      </c>
      <c r="E42" s="1">
        <v>45378</v>
      </c>
      <c r="F42" t="s">
        <v>685</v>
      </c>
    </row>
    <row r="43" spans="1:6" x14ac:dyDescent="0.3">
      <c r="A43" t="s">
        <v>708</v>
      </c>
      <c r="B43" t="s">
        <v>65</v>
      </c>
      <c r="C43" t="s">
        <v>662</v>
      </c>
      <c r="D43">
        <v>2</v>
      </c>
      <c r="E43" s="1">
        <v>45506</v>
      </c>
      <c r="F43" t="s">
        <v>668</v>
      </c>
    </row>
    <row r="44" spans="1:6" x14ac:dyDescent="0.3">
      <c r="A44" t="s">
        <v>709</v>
      </c>
      <c r="B44" t="s">
        <v>70</v>
      </c>
      <c r="C44" t="s">
        <v>689</v>
      </c>
      <c r="D44">
        <v>3</v>
      </c>
      <c r="E44" s="1">
        <v>45507</v>
      </c>
      <c r="F44" t="s">
        <v>685</v>
      </c>
    </row>
    <row r="45" spans="1:6" x14ac:dyDescent="0.3">
      <c r="A45" t="s">
        <v>864</v>
      </c>
      <c r="B45" t="s">
        <v>65</v>
      </c>
      <c r="C45" t="s">
        <v>864</v>
      </c>
      <c r="D45">
        <v>1</v>
      </c>
      <c r="E45" t="s">
        <v>864</v>
      </c>
      <c r="F45" t="s">
        <v>668</v>
      </c>
    </row>
    <row r="46" spans="1:6" x14ac:dyDescent="0.3">
      <c r="A46" t="s">
        <v>710</v>
      </c>
      <c r="B46" t="s">
        <v>70</v>
      </c>
      <c r="C46" t="s">
        <v>659</v>
      </c>
      <c r="D46">
        <v>9</v>
      </c>
      <c r="E46" s="1">
        <v>45313</v>
      </c>
      <c r="F46" t="s">
        <v>660</v>
      </c>
    </row>
    <row r="47" spans="1:6" x14ac:dyDescent="0.3">
      <c r="A47" t="s">
        <v>711</v>
      </c>
      <c r="B47" t="s">
        <v>23</v>
      </c>
      <c r="C47" t="s">
        <v>674</v>
      </c>
      <c r="D47">
        <v>8</v>
      </c>
      <c r="E47" s="1">
        <v>45347</v>
      </c>
      <c r="F47" t="s">
        <v>668</v>
      </c>
    </row>
    <row r="48" spans="1:6" x14ac:dyDescent="0.3">
      <c r="A48" t="s">
        <v>712</v>
      </c>
      <c r="B48" t="s">
        <v>23</v>
      </c>
      <c r="C48" t="s">
        <v>659</v>
      </c>
      <c r="D48">
        <v>7</v>
      </c>
      <c r="E48" s="1">
        <v>45466</v>
      </c>
      <c r="F48" t="s">
        <v>660</v>
      </c>
    </row>
    <row r="49" spans="1:6" x14ac:dyDescent="0.3">
      <c r="A49" t="s">
        <v>713</v>
      </c>
      <c r="B49" t="s">
        <v>23</v>
      </c>
      <c r="C49" t="s">
        <v>662</v>
      </c>
      <c r="D49">
        <v>0</v>
      </c>
      <c r="E49" s="1">
        <v>45350</v>
      </c>
      <c r="F49" t="s">
        <v>668</v>
      </c>
    </row>
    <row r="50" spans="1:6" x14ac:dyDescent="0.3">
      <c r="A50" t="s">
        <v>714</v>
      </c>
      <c r="B50" t="s">
        <v>8</v>
      </c>
      <c r="C50" t="s">
        <v>674</v>
      </c>
      <c r="D50">
        <v>3</v>
      </c>
      <c r="E50" s="1">
        <v>45590</v>
      </c>
      <c r="F50" t="s">
        <v>668</v>
      </c>
    </row>
    <row r="51" spans="1:6" x14ac:dyDescent="0.3">
      <c r="A51" t="s">
        <v>715</v>
      </c>
      <c r="B51" t="s">
        <v>23</v>
      </c>
      <c r="C51" t="s">
        <v>662</v>
      </c>
      <c r="D51">
        <v>7</v>
      </c>
      <c r="E51" s="1">
        <v>45324</v>
      </c>
      <c r="F51" t="s">
        <v>660</v>
      </c>
    </row>
    <row r="52" spans="1:6" x14ac:dyDescent="0.3">
      <c r="A52" t="s">
        <v>716</v>
      </c>
      <c r="B52" t="s">
        <v>65</v>
      </c>
      <c r="C52" t="s">
        <v>674</v>
      </c>
      <c r="D52">
        <v>9</v>
      </c>
      <c r="E52" s="1">
        <v>45630</v>
      </c>
      <c r="F52" t="s">
        <v>660</v>
      </c>
    </row>
    <row r="53" spans="1:6" x14ac:dyDescent="0.3">
      <c r="A53" t="s">
        <v>717</v>
      </c>
      <c r="B53" t="s">
        <v>23</v>
      </c>
      <c r="C53" t="s">
        <v>674</v>
      </c>
      <c r="D53">
        <v>9</v>
      </c>
      <c r="E53" s="1">
        <v>45482</v>
      </c>
      <c r="F53" t="s">
        <v>668</v>
      </c>
    </row>
    <row r="54" spans="1:6" x14ac:dyDescent="0.3">
      <c r="A54" t="s">
        <v>718</v>
      </c>
      <c r="B54" t="s">
        <v>19</v>
      </c>
      <c r="C54" t="s">
        <v>674</v>
      </c>
      <c r="D54">
        <v>3</v>
      </c>
      <c r="E54" s="1">
        <v>45370</v>
      </c>
      <c r="F54" t="s">
        <v>660</v>
      </c>
    </row>
    <row r="55" spans="1:6" x14ac:dyDescent="0.3">
      <c r="A55" t="s">
        <v>719</v>
      </c>
      <c r="B55" t="s">
        <v>19</v>
      </c>
      <c r="C55" t="s">
        <v>689</v>
      </c>
      <c r="D55">
        <v>9</v>
      </c>
      <c r="E55" s="1">
        <v>45362</v>
      </c>
      <c r="F55" t="s">
        <v>668</v>
      </c>
    </row>
    <row r="56" spans="1:6" x14ac:dyDescent="0.3">
      <c r="A56" t="s">
        <v>720</v>
      </c>
      <c r="B56" t="s">
        <v>70</v>
      </c>
      <c r="C56" t="s">
        <v>674</v>
      </c>
      <c r="D56">
        <v>0</v>
      </c>
      <c r="E56" s="1">
        <v>45633</v>
      </c>
      <c r="F56" t="s">
        <v>668</v>
      </c>
    </row>
    <row r="57" spans="1:6" x14ac:dyDescent="0.3">
      <c r="A57" t="s">
        <v>721</v>
      </c>
      <c r="B57" t="s">
        <v>70</v>
      </c>
      <c r="C57" t="s">
        <v>659</v>
      </c>
      <c r="D57">
        <v>7</v>
      </c>
      <c r="E57" s="1">
        <v>45556</v>
      </c>
      <c r="F57" t="s">
        <v>668</v>
      </c>
    </row>
    <row r="58" spans="1:6" x14ac:dyDescent="0.3">
      <c r="A58" t="s">
        <v>722</v>
      </c>
      <c r="B58" t="s">
        <v>23</v>
      </c>
      <c r="C58" t="s">
        <v>689</v>
      </c>
      <c r="D58">
        <v>4</v>
      </c>
      <c r="E58" s="1">
        <v>45551</v>
      </c>
      <c r="F58" t="s">
        <v>668</v>
      </c>
    </row>
    <row r="59" spans="1:6" x14ac:dyDescent="0.3">
      <c r="A59" t="s">
        <v>723</v>
      </c>
      <c r="B59" t="s">
        <v>19</v>
      </c>
      <c r="C59" t="s">
        <v>659</v>
      </c>
      <c r="D59">
        <v>2</v>
      </c>
      <c r="E59" s="1">
        <v>45585</v>
      </c>
      <c r="F59" t="s">
        <v>660</v>
      </c>
    </row>
    <row r="60" spans="1:6" x14ac:dyDescent="0.3">
      <c r="A60" t="s">
        <v>724</v>
      </c>
      <c r="B60" t="s">
        <v>65</v>
      </c>
      <c r="C60" t="s">
        <v>674</v>
      </c>
      <c r="D60">
        <v>1</v>
      </c>
      <c r="E60" s="1">
        <v>45517</v>
      </c>
      <c r="F60" t="s">
        <v>660</v>
      </c>
    </row>
    <row r="61" spans="1:6" x14ac:dyDescent="0.3">
      <c r="A61" t="s">
        <v>725</v>
      </c>
      <c r="B61" t="s">
        <v>70</v>
      </c>
      <c r="C61" t="s">
        <v>689</v>
      </c>
      <c r="D61">
        <v>1</v>
      </c>
      <c r="E61" s="1">
        <v>45623</v>
      </c>
      <c r="F61" t="s">
        <v>685</v>
      </c>
    </row>
    <row r="62" spans="1:6" x14ac:dyDescent="0.3">
      <c r="A62" t="s">
        <v>726</v>
      </c>
      <c r="B62" t="s">
        <v>8</v>
      </c>
      <c r="C62" t="s">
        <v>664</v>
      </c>
      <c r="D62">
        <v>5</v>
      </c>
      <c r="E62" s="1">
        <v>45298</v>
      </c>
      <c r="F62" t="s">
        <v>668</v>
      </c>
    </row>
    <row r="63" spans="1:6" x14ac:dyDescent="0.3">
      <c r="A63" t="s">
        <v>727</v>
      </c>
      <c r="B63" t="s">
        <v>8</v>
      </c>
      <c r="C63" t="s">
        <v>664</v>
      </c>
      <c r="D63">
        <v>0</v>
      </c>
      <c r="E63" s="1">
        <v>45350</v>
      </c>
      <c r="F63" t="s">
        <v>668</v>
      </c>
    </row>
    <row r="64" spans="1:6" x14ac:dyDescent="0.3">
      <c r="A64" t="s">
        <v>728</v>
      </c>
      <c r="B64" t="s">
        <v>8</v>
      </c>
      <c r="C64" t="s">
        <v>664</v>
      </c>
      <c r="D64">
        <v>0</v>
      </c>
      <c r="E64" s="1">
        <v>45545</v>
      </c>
      <c r="F64" t="s">
        <v>665</v>
      </c>
    </row>
    <row r="65" spans="1:6" x14ac:dyDescent="0.3">
      <c r="A65" t="s">
        <v>729</v>
      </c>
      <c r="B65" t="s">
        <v>8</v>
      </c>
      <c r="C65" t="s">
        <v>689</v>
      </c>
      <c r="D65">
        <v>4</v>
      </c>
      <c r="E65" s="1">
        <v>45648</v>
      </c>
      <c r="F65" t="s">
        <v>665</v>
      </c>
    </row>
    <row r="66" spans="1:6" x14ac:dyDescent="0.3">
      <c r="A66" t="s">
        <v>730</v>
      </c>
      <c r="B66" t="s">
        <v>19</v>
      </c>
      <c r="C66" t="s">
        <v>659</v>
      </c>
      <c r="D66">
        <v>2</v>
      </c>
      <c r="E66" s="1">
        <v>45307</v>
      </c>
      <c r="F66" t="s">
        <v>668</v>
      </c>
    </row>
    <row r="67" spans="1:6" x14ac:dyDescent="0.3">
      <c r="A67" t="s">
        <v>731</v>
      </c>
      <c r="B67" t="s">
        <v>12</v>
      </c>
      <c r="C67" t="s">
        <v>664</v>
      </c>
      <c r="D67">
        <v>0</v>
      </c>
      <c r="E67" s="1">
        <v>45645</v>
      </c>
      <c r="F67" t="s">
        <v>668</v>
      </c>
    </row>
    <row r="68" spans="1:6" x14ac:dyDescent="0.3">
      <c r="A68" t="s">
        <v>732</v>
      </c>
      <c r="B68" t="s">
        <v>70</v>
      </c>
      <c r="C68" t="s">
        <v>674</v>
      </c>
      <c r="D68">
        <v>9</v>
      </c>
      <c r="E68" s="1">
        <v>45617</v>
      </c>
      <c r="F68" t="s">
        <v>660</v>
      </c>
    </row>
    <row r="69" spans="1:6" x14ac:dyDescent="0.3">
      <c r="A69" t="s">
        <v>733</v>
      </c>
      <c r="B69" t="s">
        <v>19</v>
      </c>
      <c r="C69" t="s">
        <v>689</v>
      </c>
      <c r="D69">
        <v>8</v>
      </c>
      <c r="E69" s="1">
        <v>45387</v>
      </c>
      <c r="F69" t="s">
        <v>685</v>
      </c>
    </row>
    <row r="70" spans="1:6" x14ac:dyDescent="0.3">
      <c r="A70" t="s">
        <v>734</v>
      </c>
      <c r="B70" t="s">
        <v>8</v>
      </c>
      <c r="C70" t="s">
        <v>674</v>
      </c>
      <c r="D70">
        <v>5</v>
      </c>
      <c r="E70" s="1">
        <v>45485</v>
      </c>
      <c r="F70" t="s">
        <v>668</v>
      </c>
    </row>
    <row r="71" spans="1:6" x14ac:dyDescent="0.3">
      <c r="A71" t="s">
        <v>735</v>
      </c>
      <c r="B71" t="s">
        <v>65</v>
      </c>
      <c r="C71" t="s">
        <v>689</v>
      </c>
      <c r="D71">
        <v>5</v>
      </c>
      <c r="E71" s="1">
        <v>45410</v>
      </c>
      <c r="F71" t="s">
        <v>665</v>
      </c>
    </row>
    <row r="72" spans="1:6" x14ac:dyDescent="0.3">
      <c r="A72" t="s">
        <v>736</v>
      </c>
      <c r="B72" t="s">
        <v>8</v>
      </c>
      <c r="C72" t="s">
        <v>659</v>
      </c>
      <c r="D72">
        <v>7</v>
      </c>
      <c r="E72" s="1">
        <v>45457</v>
      </c>
      <c r="F72" t="s">
        <v>660</v>
      </c>
    </row>
    <row r="73" spans="1:6" x14ac:dyDescent="0.3">
      <c r="A73" t="s">
        <v>737</v>
      </c>
      <c r="B73" t="s">
        <v>65</v>
      </c>
      <c r="C73" t="s">
        <v>674</v>
      </c>
      <c r="D73">
        <v>8</v>
      </c>
      <c r="E73" s="1">
        <v>45407</v>
      </c>
      <c r="F73" t="s">
        <v>660</v>
      </c>
    </row>
    <row r="74" spans="1:6" x14ac:dyDescent="0.3">
      <c r="A74" t="s">
        <v>738</v>
      </c>
      <c r="B74" t="s">
        <v>19</v>
      </c>
      <c r="C74" t="s">
        <v>664</v>
      </c>
      <c r="D74">
        <v>3</v>
      </c>
      <c r="E74" s="1">
        <v>45416</v>
      </c>
      <c r="F74" t="s">
        <v>685</v>
      </c>
    </row>
    <row r="75" spans="1:6" x14ac:dyDescent="0.3">
      <c r="A75" t="s">
        <v>739</v>
      </c>
      <c r="B75" t="s">
        <v>8</v>
      </c>
      <c r="C75" t="s">
        <v>662</v>
      </c>
      <c r="D75">
        <v>0</v>
      </c>
      <c r="E75" s="1">
        <v>45493</v>
      </c>
      <c r="F75" t="s">
        <v>660</v>
      </c>
    </row>
    <row r="76" spans="1:6" x14ac:dyDescent="0.3">
      <c r="A76" t="s">
        <v>740</v>
      </c>
      <c r="B76" t="s">
        <v>23</v>
      </c>
      <c r="C76" t="s">
        <v>689</v>
      </c>
      <c r="D76">
        <v>8</v>
      </c>
      <c r="E76" s="1">
        <v>45392</v>
      </c>
      <c r="F76" t="s">
        <v>665</v>
      </c>
    </row>
    <row r="77" spans="1:6" x14ac:dyDescent="0.3">
      <c r="A77" t="s">
        <v>741</v>
      </c>
      <c r="B77" t="s">
        <v>864</v>
      </c>
      <c r="C77" t="s">
        <v>662</v>
      </c>
      <c r="D77">
        <v>2</v>
      </c>
      <c r="E77" t="s">
        <v>864</v>
      </c>
      <c r="F77" t="s">
        <v>668</v>
      </c>
    </row>
    <row r="78" spans="1:6" x14ac:dyDescent="0.3">
      <c r="A78" t="s">
        <v>742</v>
      </c>
      <c r="B78" t="s">
        <v>8</v>
      </c>
      <c r="C78" t="s">
        <v>674</v>
      </c>
      <c r="D78">
        <v>7</v>
      </c>
      <c r="E78" s="1">
        <v>45651</v>
      </c>
      <c r="F78" t="s">
        <v>668</v>
      </c>
    </row>
    <row r="79" spans="1:6" x14ac:dyDescent="0.3">
      <c r="A79" t="s">
        <v>743</v>
      </c>
      <c r="B79" t="s">
        <v>12</v>
      </c>
      <c r="C79" t="s">
        <v>662</v>
      </c>
      <c r="D79">
        <v>6</v>
      </c>
      <c r="E79" s="1">
        <v>45464</v>
      </c>
      <c r="F79" t="s">
        <v>668</v>
      </c>
    </row>
    <row r="80" spans="1:6" x14ac:dyDescent="0.3">
      <c r="A80" t="s">
        <v>744</v>
      </c>
      <c r="B80" t="s">
        <v>12</v>
      </c>
      <c r="C80" t="s">
        <v>664</v>
      </c>
      <c r="D80">
        <v>2</v>
      </c>
      <c r="E80" s="1">
        <v>45504</v>
      </c>
      <c r="F80" t="s">
        <v>668</v>
      </c>
    </row>
    <row r="81" spans="1:6" x14ac:dyDescent="0.3">
      <c r="A81" t="s">
        <v>745</v>
      </c>
      <c r="B81" t="s">
        <v>19</v>
      </c>
      <c r="C81" t="s">
        <v>689</v>
      </c>
      <c r="D81">
        <v>2</v>
      </c>
      <c r="E81" s="1">
        <v>45594</v>
      </c>
      <c r="F81" t="s">
        <v>685</v>
      </c>
    </row>
    <row r="82" spans="1:6" x14ac:dyDescent="0.3">
      <c r="A82" t="s">
        <v>746</v>
      </c>
      <c r="B82" t="s">
        <v>8</v>
      </c>
      <c r="C82" t="s">
        <v>689</v>
      </c>
      <c r="D82">
        <v>6</v>
      </c>
      <c r="E82" s="1">
        <v>45614</v>
      </c>
      <c r="F82" t="s">
        <v>668</v>
      </c>
    </row>
    <row r="83" spans="1:6" x14ac:dyDescent="0.3">
      <c r="A83" t="s">
        <v>747</v>
      </c>
      <c r="B83" t="s">
        <v>23</v>
      </c>
      <c r="C83" t="s">
        <v>664</v>
      </c>
      <c r="D83">
        <v>7</v>
      </c>
      <c r="E83" s="1">
        <v>45541</v>
      </c>
      <c r="F83" t="s">
        <v>685</v>
      </c>
    </row>
    <row r="84" spans="1:6" x14ac:dyDescent="0.3">
      <c r="A84" t="s">
        <v>748</v>
      </c>
      <c r="B84" t="s">
        <v>65</v>
      </c>
      <c r="C84" t="s">
        <v>689</v>
      </c>
      <c r="D84">
        <v>0</v>
      </c>
      <c r="E84" s="1">
        <v>45440</v>
      </c>
      <c r="F84" t="s">
        <v>665</v>
      </c>
    </row>
    <row r="85" spans="1:6" x14ac:dyDescent="0.3">
      <c r="A85" t="s">
        <v>749</v>
      </c>
      <c r="B85" t="s">
        <v>12</v>
      </c>
      <c r="C85" t="s">
        <v>659</v>
      </c>
      <c r="D85">
        <v>7</v>
      </c>
      <c r="E85" s="1">
        <v>45307</v>
      </c>
      <c r="F85" t="s">
        <v>660</v>
      </c>
    </row>
    <row r="86" spans="1:6" x14ac:dyDescent="0.3">
      <c r="A86" t="s">
        <v>750</v>
      </c>
      <c r="B86" t="s">
        <v>70</v>
      </c>
      <c r="C86" t="s">
        <v>662</v>
      </c>
      <c r="D86">
        <v>1</v>
      </c>
      <c r="E86" s="1">
        <v>45351</v>
      </c>
      <c r="F86" t="s">
        <v>660</v>
      </c>
    </row>
    <row r="87" spans="1:6" x14ac:dyDescent="0.3">
      <c r="A87" t="s">
        <v>751</v>
      </c>
      <c r="B87" t="s">
        <v>8</v>
      </c>
      <c r="C87" t="s">
        <v>664</v>
      </c>
      <c r="D87">
        <v>9</v>
      </c>
      <c r="E87" s="1">
        <v>45523</v>
      </c>
      <c r="F87" t="s">
        <v>685</v>
      </c>
    </row>
    <row r="88" spans="1:6" x14ac:dyDescent="0.3">
      <c r="A88" t="s">
        <v>752</v>
      </c>
      <c r="B88" t="s">
        <v>70</v>
      </c>
      <c r="C88" t="s">
        <v>662</v>
      </c>
      <c r="D88">
        <v>5</v>
      </c>
      <c r="E88" s="1">
        <v>45534</v>
      </c>
      <c r="F88" t="s">
        <v>668</v>
      </c>
    </row>
    <row r="89" spans="1:6" x14ac:dyDescent="0.3">
      <c r="A89" t="s">
        <v>753</v>
      </c>
      <c r="B89" t="s">
        <v>12</v>
      </c>
      <c r="C89" t="s">
        <v>662</v>
      </c>
      <c r="D89">
        <v>7</v>
      </c>
      <c r="E89" s="1">
        <v>45386</v>
      </c>
      <c r="F89" t="s">
        <v>668</v>
      </c>
    </row>
    <row r="90" spans="1:6" x14ac:dyDescent="0.3">
      <c r="A90" t="s">
        <v>754</v>
      </c>
      <c r="B90" t="s">
        <v>70</v>
      </c>
      <c r="C90" t="s">
        <v>664</v>
      </c>
      <c r="D90">
        <v>2</v>
      </c>
      <c r="E90" s="1">
        <v>45386</v>
      </c>
      <c r="F90" t="s">
        <v>685</v>
      </c>
    </row>
    <row r="91" spans="1:6" x14ac:dyDescent="0.3">
      <c r="A91" t="s">
        <v>755</v>
      </c>
      <c r="B91" t="s">
        <v>65</v>
      </c>
      <c r="C91" t="s">
        <v>689</v>
      </c>
      <c r="D91">
        <v>2</v>
      </c>
      <c r="E91" s="1">
        <v>45468</v>
      </c>
      <c r="F91" t="s">
        <v>665</v>
      </c>
    </row>
    <row r="92" spans="1:6" x14ac:dyDescent="0.3">
      <c r="A92" t="s">
        <v>756</v>
      </c>
      <c r="B92" t="s">
        <v>12</v>
      </c>
      <c r="C92" t="s">
        <v>674</v>
      </c>
      <c r="D92">
        <v>2</v>
      </c>
      <c r="E92" s="1">
        <v>45390</v>
      </c>
      <c r="F92" t="s">
        <v>668</v>
      </c>
    </row>
    <row r="93" spans="1:6" x14ac:dyDescent="0.3">
      <c r="A93" t="s">
        <v>757</v>
      </c>
      <c r="B93" t="s">
        <v>70</v>
      </c>
      <c r="C93" t="s">
        <v>659</v>
      </c>
      <c r="D93">
        <v>9</v>
      </c>
      <c r="E93" s="1">
        <v>45654</v>
      </c>
      <c r="F93" t="s">
        <v>660</v>
      </c>
    </row>
    <row r="94" spans="1:6" x14ac:dyDescent="0.3">
      <c r="A94" t="s">
        <v>758</v>
      </c>
      <c r="B94" t="s">
        <v>70</v>
      </c>
      <c r="C94" t="s">
        <v>674</v>
      </c>
      <c r="D94">
        <v>4</v>
      </c>
      <c r="E94" s="1">
        <v>45454</v>
      </c>
      <c r="F94" t="s">
        <v>660</v>
      </c>
    </row>
    <row r="95" spans="1:6" x14ac:dyDescent="0.3">
      <c r="A95" t="s">
        <v>759</v>
      </c>
      <c r="B95" t="s">
        <v>65</v>
      </c>
      <c r="C95" t="s">
        <v>664</v>
      </c>
      <c r="D95">
        <v>6</v>
      </c>
      <c r="E95" s="1">
        <v>45449</v>
      </c>
      <c r="F95" t="s">
        <v>668</v>
      </c>
    </row>
    <row r="96" spans="1:6" x14ac:dyDescent="0.3">
      <c r="A96" t="s">
        <v>760</v>
      </c>
      <c r="B96" t="s">
        <v>65</v>
      </c>
      <c r="C96" t="s">
        <v>662</v>
      </c>
      <c r="D96">
        <v>1</v>
      </c>
      <c r="E96" s="1">
        <v>45600</v>
      </c>
      <c r="F96" t="s">
        <v>660</v>
      </c>
    </row>
    <row r="97" spans="1:6" x14ac:dyDescent="0.3">
      <c r="A97" t="s">
        <v>761</v>
      </c>
      <c r="B97" t="s">
        <v>65</v>
      </c>
      <c r="C97" t="s">
        <v>664</v>
      </c>
      <c r="D97">
        <v>2</v>
      </c>
      <c r="E97" s="1">
        <v>45370</v>
      </c>
      <c r="F97" t="s">
        <v>665</v>
      </c>
    </row>
    <row r="98" spans="1:6" x14ac:dyDescent="0.3">
      <c r="A98" t="s">
        <v>762</v>
      </c>
      <c r="B98" t="s">
        <v>8</v>
      </c>
      <c r="C98" t="s">
        <v>674</v>
      </c>
      <c r="D98">
        <v>7</v>
      </c>
      <c r="E98" s="1">
        <v>45389</v>
      </c>
      <c r="F98" t="s">
        <v>668</v>
      </c>
    </row>
    <row r="99" spans="1:6" x14ac:dyDescent="0.3">
      <c r="A99" t="s">
        <v>763</v>
      </c>
      <c r="B99" t="s">
        <v>65</v>
      </c>
      <c r="C99" t="s">
        <v>674</v>
      </c>
      <c r="D99">
        <v>1</v>
      </c>
      <c r="E99" s="1">
        <v>45438</v>
      </c>
      <c r="F99" t="s">
        <v>660</v>
      </c>
    </row>
    <row r="100" spans="1:6" x14ac:dyDescent="0.3">
      <c r="A100" t="s">
        <v>764</v>
      </c>
      <c r="B100" t="s">
        <v>19</v>
      </c>
      <c r="C100" t="s">
        <v>674</v>
      </c>
      <c r="D100">
        <v>4</v>
      </c>
      <c r="E100" s="1">
        <v>45457</v>
      </c>
      <c r="F100" t="s">
        <v>660</v>
      </c>
    </row>
    <row r="101" spans="1:6" x14ac:dyDescent="0.3">
      <c r="A101" t="s">
        <v>765</v>
      </c>
      <c r="B101" t="s">
        <v>19</v>
      </c>
      <c r="C101" t="s">
        <v>662</v>
      </c>
      <c r="D101">
        <v>7</v>
      </c>
      <c r="E101" s="1">
        <v>45428</v>
      </c>
      <c r="F101" t="s">
        <v>668</v>
      </c>
    </row>
    <row r="102" spans="1:6" x14ac:dyDescent="0.3">
      <c r="A102" t="s">
        <v>766</v>
      </c>
      <c r="B102" t="s">
        <v>12</v>
      </c>
      <c r="C102" t="s">
        <v>674</v>
      </c>
      <c r="D102">
        <v>9</v>
      </c>
      <c r="E102" s="1">
        <v>45367</v>
      </c>
      <c r="F102" t="s">
        <v>660</v>
      </c>
    </row>
    <row r="103" spans="1:6" x14ac:dyDescent="0.3">
      <c r="A103" t="s">
        <v>767</v>
      </c>
      <c r="B103" t="s">
        <v>12</v>
      </c>
      <c r="C103" t="s">
        <v>664</v>
      </c>
      <c r="D103">
        <v>6</v>
      </c>
      <c r="E103" s="1">
        <v>45529</v>
      </c>
      <c r="F103" t="s">
        <v>685</v>
      </c>
    </row>
    <row r="104" spans="1:6" x14ac:dyDescent="0.3">
      <c r="A104" t="s">
        <v>768</v>
      </c>
      <c r="B104" t="s">
        <v>70</v>
      </c>
      <c r="C104" t="s">
        <v>664</v>
      </c>
      <c r="D104">
        <v>9</v>
      </c>
      <c r="E104" s="1">
        <v>45306</v>
      </c>
      <c r="F104" t="s">
        <v>665</v>
      </c>
    </row>
    <row r="105" spans="1:6" x14ac:dyDescent="0.3">
      <c r="A105" t="s">
        <v>769</v>
      </c>
      <c r="B105" t="s">
        <v>12</v>
      </c>
      <c r="C105" t="s">
        <v>689</v>
      </c>
      <c r="D105">
        <v>3</v>
      </c>
      <c r="E105" s="1">
        <v>45618</v>
      </c>
      <c r="F105" t="s">
        <v>665</v>
      </c>
    </row>
    <row r="106" spans="1:6" x14ac:dyDescent="0.3">
      <c r="A106" t="s">
        <v>770</v>
      </c>
      <c r="B106" t="s">
        <v>23</v>
      </c>
      <c r="C106" t="s">
        <v>674</v>
      </c>
      <c r="D106">
        <v>8</v>
      </c>
      <c r="E106" s="1">
        <v>45387</v>
      </c>
      <c r="F106" t="s">
        <v>668</v>
      </c>
    </row>
    <row r="107" spans="1:6" x14ac:dyDescent="0.3">
      <c r="A107" t="s">
        <v>771</v>
      </c>
      <c r="B107" t="s">
        <v>23</v>
      </c>
      <c r="C107" t="s">
        <v>662</v>
      </c>
      <c r="D107">
        <v>2</v>
      </c>
      <c r="E107" s="1">
        <v>45646</v>
      </c>
      <c r="F107" t="s">
        <v>668</v>
      </c>
    </row>
    <row r="108" spans="1:6" x14ac:dyDescent="0.3">
      <c r="A108" t="s">
        <v>772</v>
      </c>
      <c r="B108" t="s">
        <v>19</v>
      </c>
      <c r="C108" t="s">
        <v>674</v>
      </c>
      <c r="D108">
        <v>5</v>
      </c>
      <c r="E108" s="1">
        <v>45608</v>
      </c>
      <c r="F108" t="s">
        <v>660</v>
      </c>
    </row>
    <row r="109" spans="1:6" x14ac:dyDescent="0.3">
      <c r="A109" t="s">
        <v>773</v>
      </c>
      <c r="B109" t="s">
        <v>23</v>
      </c>
      <c r="C109" t="s">
        <v>662</v>
      </c>
      <c r="D109">
        <v>3</v>
      </c>
      <c r="E109" s="1">
        <v>45367</v>
      </c>
      <c r="F109" t="s">
        <v>668</v>
      </c>
    </row>
    <row r="110" spans="1:6" x14ac:dyDescent="0.3">
      <c r="A110" t="s">
        <v>774</v>
      </c>
      <c r="B110" t="s">
        <v>70</v>
      </c>
      <c r="C110" t="s">
        <v>689</v>
      </c>
      <c r="D110">
        <v>7</v>
      </c>
      <c r="E110" s="1">
        <v>45404</v>
      </c>
      <c r="F110" t="s">
        <v>665</v>
      </c>
    </row>
    <row r="111" spans="1:6" x14ac:dyDescent="0.3">
      <c r="A111" t="s">
        <v>775</v>
      </c>
      <c r="B111" t="s">
        <v>23</v>
      </c>
      <c r="C111" t="s">
        <v>664</v>
      </c>
      <c r="D111">
        <v>6</v>
      </c>
      <c r="E111" s="1">
        <v>45480</v>
      </c>
      <c r="F111" t="s">
        <v>685</v>
      </c>
    </row>
    <row r="112" spans="1:6" x14ac:dyDescent="0.3">
      <c r="A112" t="s">
        <v>776</v>
      </c>
      <c r="B112" t="s">
        <v>23</v>
      </c>
      <c r="C112" t="s">
        <v>674</v>
      </c>
      <c r="D112">
        <v>6</v>
      </c>
      <c r="E112" s="1">
        <v>45444</v>
      </c>
      <c r="F112" t="s">
        <v>668</v>
      </c>
    </row>
    <row r="113" spans="1:6" x14ac:dyDescent="0.3">
      <c r="A113" t="s">
        <v>777</v>
      </c>
      <c r="B113" t="s">
        <v>12</v>
      </c>
      <c r="C113" t="s">
        <v>664</v>
      </c>
      <c r="D113">
        <v>5</v>
      </c>
      <c r="E113" s="1">
        <v>45472</v>
      </c>
      <c r="F113" t="s">
        <v>665</v>
      </c>
    </row>
    <row r="114" spans="1:6" x14ac:dyDescent="0.3">
      <c r="A114" t="s">
        <v>778</v>
      </c>
      <c r="B114" t="s">
        <v>19</v>
      </c>
      <c r="C114" t="s">
        <v>674</v>
      </c>
      <c r="D114">
        <v>4</v>
      </c>
      <c r="E114" s="1">
        <v>45303</v>
      </c>
      <c r="F114" t="s">
        <v>668</v>
      </c>
    </row>
    <row r="115" spans="1:6" x14ac:dyDescent="0.3">
      <c r="A115" t="s">
        <v>779</v>
      </c>
      <c r="B115" t="s">
        <v>70</v>
      </c>
      <c r="C115" t="s">
        <v>659</v>
      </c>
      <c r="D115">
        <v>2</v>
      </c>
      <c r="E115" s="1">
        <v>45538</v>
      </c>
      <c r="F115" t="s">
        <v>660</v>
      </c>
    </row>
    <row r="116" spans="1:6" x14ac:dyDescent="0.3">
      <c r="A116" t="s">
        <v>780</v>
      </c>
      <c r="B116" t="s">
        <v>70</v>
      </c>
      <c r="C116" t="s">
        <v>674</v>
      </c>
      <c r="D116">
        <v>1</v>
      </c>
      <c r="E116" s="1">
        <v>45486</v>
      </c>
      <c r="F116" t="s">
        <v>668</v>
      </c>
    </row>
    <row r="117" spans="1:6" x14ac:dyDescent="0.3">
      <c r="A117" t="s">
        <v>781</v>
      </c>
      <c r="B117" t="s">
        <v>23</v>
      </c>
      <c r="C117" t="s">
        <v>674</v>
      </c>
      <c r="D117">
        <v>5</v>
      </c>
      <c r="E117" s="1">
        <v>45491</v>
      </c>
      <c r="F117" t="s">
        <v>668</v>
      </c>
    </row>
    <row r="118" spans="1:6" x14ac:dyDescent="0.3">
      <c r="A118" t="s">
        <v>782</v>
      </c>
      <c r="B118" t="s">
        <v>23</v>
      </c>
      <c r="C118" t="s">
        <v>689</v>
      </c>
      <c r="D118">
        <v>5</v>
      </c>
      <c r="E118" s="1">
        <v>45504</v>
      </c>
      <c r="F118" t="s">
        <v>685</v>
      </c>
    </row>
    <row r="119" spans="1:6" x14ac:dyDescent="0.3">
      <c r="A119" t="s">
        <v>783</v>
      </c>
      <c r="B119" t="s">
        <v>70</v>
      </c>
      <c r="C119" t="s">
        <v>659</v>
      </c>
      <c r="D119">
        <v>4</v>
      </c>
      <c r="E119" s="1">
        <v>45359</v>
      </c>
      <c r="F119" t="s">
        <v>668</v>
      </c>
    </row>
    <row r="120" spans="1:6" x14ac:dyDescent="0.3">
      <c r="A120" t="s">
        <v>784</v>
      </c>
      <c r="B120" t="s">
        <v>70</v>
      </c>
      <c r="C120" t="s">
        <v>664</v>
      </c>
      <c r="D120">
        <v>6</v>
      </c>
      <c r="E120" s="1">
        <v>45449</v>
      </c>
      <c r="F120" t="s">
        <v>685</v>
      </c>
    </row>
    <row r="121" spans="1:6" x14ac:dyDescent="0.3">
      <c r="A121" t="s">
        <v>785</v>
      </c>
      <c r="B121" t="s">
        <v>19</v>
      </c>
      <c r="C121" t="s">
        <v>664</v>
      </c>
      <c r="D121">
        <v>2</v>
      </c>
      <c r="E121" s="1">
        <v>45379</v>
      </c>
      <c r="F121" t="s">
        <v>668</v>
      </c>
    </row>
    <row r="122" spans="1:6" x14ac:dyDescent="0.3">
      <c r="A122" t="s">
        <v>786</v>
      </c>
      <c r="B122" t="s">
        <v>65</v>
      </c>
      <c r="C122" t="s">
        <v>659</v>
      </c>
      <c r="D122">
        <v>7</v>
      </c>
      <c r="E122" s="1">
        <v>45482</v>
      </c>
      <c r="F122" t="s">
        <v>660</v>
      </c>
    </row>
    <row r="123" spans="1:6" x14ac:dyDescent="0.3">
      <c r="A123" t="s">
        <v>787</v>
      </c>
      <c r="B123" t="s">
        <v>65</v>
      </c>
      <c r="C123" t="s">
        <v>674</v>
      </c>
      <c r="D123">
        <v>3</v>
      </c>
      <c r="E123" s="1">
        <v>45545</v>
      </c>
      <c r="F123" t="s">
        <v>660</v>
      </c>
    </row>
    <row r="124" spans="1:6" x14ac:dyDescent="0.3">
      <c r="A124" t="s">
        <v>788</v>
      </c>
      <c r="B124" t="s">
        <v>8</v>
      </c>
      <c r="C124" t="s">
        <v>674</v>
      </c>
      <c r="D124">
        <v>9</v>
      </c>
      <c r="E124" s="1">
        <v>45515</v>
      </c>
      <c r="F124" t="s">
        <v>660</v>
      </c>
    </row>
    <row r="125" spans="1:6" x14ac:dyDescent="0.3">
      <c r="A125" t="s">
        <v>789</v>
      </c>
      <c r="B125" t="s">
        <v>65</v>
      </c>
      <c r="C125" t="s">
        <v>662</v>
      </c>
      <c r="D125">
        <v>1</v>
      </c>
      <c r="E125" s="1">
        <v>45423</v>
      </c>
      <c r="F125" t="s">
        <v>660</v>
      </c>
    </row>
    <row r="126" spans="1:6" x14ac:dyDescent="0.3">
      <c r="A126" t="s">
        <v>790</v>
      </c>
      <c r="B126" t="s">
        <v>19</v>
      </c>
      <c r="C126" t="s">
        <v>689</v>
      </c>
      <c r="D126">
        <v>4</v>
      </c>
      <c r="E126" s="1">
        <v>45582</v>
      </c>
      <c r="F126" t="s">
        <v>685</v>
      </c>
    </row>
    <row r="127" spans="1:6" x14ac:dyDescent="0.3">
      <c r="A127" t="s">
        <v>864</v>
      </c>
      <c r="B127" t="s">
        <v>8</v>
      </c>
      <c r="C127" t="s">
        <v>864</v>
      </c>
      <c r="D127">
        <v>2</v>
      </c>
      <c r="E127" t="s">
        <v>864</v>
      </c>
      <c r="F127" t="s">
        <v>685</v>
      </c>
    </row>
    <row r="128" spans="1:6" x14ac:dyDescent="0.3">
      <c r="A128" t="s">
        <v>791</v>
      </c>
      <c r="B128" t="s">
        <v>23</v>
      </c>
      <c r="C128" t="s">
        <v>662</v>
      </c>
      <c r="D128">
        <v>6</v>
      </c>
      <c r="E128" s="1">
        <v>45324</v>
      </c>
      <c r="F128" t="s">
        <v>668</v>
      </c>
    </row>
    <row r="129" spans="1:6" x14ac:dyDescent="0.3">
      <c r="A129" t="s">
        <v>792</v>
      </c>
      <c r="B129" t="s">
        <v>8</v>
      </c>
      <c r="C129" t="s">
        <v>689</v>
      </c>
      <c r="D129">
        <v>3</v>
      </c>
      <c r="E129" s="1">
        <v>45627</v>
      </c>
      <c r="F129" t="s">
        <v>668</v>
      </c>
    </row>
    <row r="130" spans="1:6" x14ac:dyDescent="0.3">
      <c r="A130" t="s">
        <v>793</v>
      </c>
      <c r="B130" t="s">
        <v>12</v>
      </c>
      <c r="C130" t="s">
        <v>659</v>
      </c>
      <c r="D130">
        <v>4</v>
      </c>
      <c r="E130" s="1">
        <v>45568</v>
      </c>
      <c r="F130" t="s">
        <v>668</v>
      </c>
    </row>
    <row r="131" spans="1:6" x14ac:dyDescent="0.3">
      <c r="A131" t="s">
        <v>794</v>
      </c>
      <c r="B131" t="s">
        <v>19</v>
      </c>
      <c r="C131" t="s">
        <v>662</v>
      </c>
      <c r="D131">
        <v>1</v>
      </c>
      <c r="E131" s="1">
        <v>45535</v>
      </c>
      <c r="F131" t="s">
        <v>668</v>
      </c>
    </row>
    <row r="132" spans="1:6" x14ac:dyDescent="0.3">
      <c r="A132" t="s">
        <v>795</v>
      </c>
      <c r="B132" t="s">
        <v>12</v>
      </c>
      <c r="C132" t="s">
        <v>689</v>
      </c>
      <c r="D132">
        <v>2</v>
      </c>
      <c r="E132" s="1">
        <v>45537</v>
      </c>
      <c r="F132" t="s">
        <v>685</v>
      </c>
    </row>
    <row r="133" spans="1:6" x14ac:dyDescent="0.3">
      <c r="A133" t="s">
        <v>796</v>
      </c>
      <c r="B133" t="s">
        <v>70</v>
      </c>
      <c r="C133" t="s">
        <v>662</v>
      </c>
      <c r="D133">
        <v>4</v>
      </c>
      <c r="E133" s="1">
        <v>45492</v>
      </c>
      <c r="F133" t="s">
        <v>660</v>
      </c>
    </row>
    <row r="134" spans="1:6" x14ac:dyDescent="0.3">
      <c r="A134" t="s">
        <v>797</v>
      </c>
      <c r="B134" t="s">
        <v>19</v>
      </c>
      <c r="C134" t="s">
        <v>674</v>
      </c>
      <c r="D134">
        <v>6</v>
      </c>
      <c r="E134" s="1">
        <v>45558</v>
      </c>
      <c r="F134" t="s">
        <v>668</v>
      </c>
    </row>
    <row r="135" spans="1:6" x14ac:dyDescent="0.3">
      <c r="A135" t="s">
        <v>798</v>
      </c>
      <c r="B135" t="s">
        <v>70</v>
      </c>
      <c r="C135" t="s">
        <v>674</v>
      </c>
      <c r="D135">
        <v>4</v>
      </c>
      <c r="E135" s="1">
        <v>45502</v>
      </c>
      <c r="F135" t="s">
        <v>668</v>
      </c>
    </row>
    <row r="136" spans="1:6" x14ac:dyDescent="0.3">
      <c r="A136" t="s">
        <v>799</v>
      </c>
      <c r="B136" t="s">
        <v>65</v>
      </c>
      <c r="C136" t="s">
        <v>659</v>
      </c>
      <c r="D136">
        <v>3</v>
      </c>
      <c r="E136" s="1">
        <v>45367</v>
      </c>
      <c r="F136" t="s">
        <v>668</v>
      </c>
    </row>
    <row r="137" spans="1:6" x14ac:dyDescent="0.3">
      <c r="A137" t="s">
        <v>800</v>
      </c>
      <c r="B137" t="s">
        <v>8</v>
      </c>
      <c r="C137" t="s">
        <v>664</v>
      </c>
      <c r="D137">
        <v>8</v>
      </c>
      <c r="E137" s="1">
        <v>45634</v>
      </c>
      <c r="F137" t="s">
        <v>685</v>
      </c>
    </row>
    <row r="138" spans="1:6" x14ac:dyDescent="0.3">
      <c r="A138" t="s">
        <v>801</v>
      </c>
      <c r="B138" t="s">
        <v>70</v>
      </c>
      <c r="C138" t="s">
        <v>674</v>
      </c>
      <c r="D138">
        <v>8</v>
      </c>
      <c r="E138" s="1">
        <v>45465</v>
      </c>
      <c r="F138" t="s">
        <v>668</v>
      </c>
    </row>
    <row r="139" spans="1:6" x14ac:dyDescent="0.3">
      <c r="A139" t="s">
        <v>802</v>
      </c>
      <c r="B139" t="s">
        <v>19</v>
      </c>
      <c r="C139" t="s">
        <v>674</v>
      </c>
      <c r="D139">
        <v>0</v>
      </c>
      <c r="E139" s="1">
        <v>45443</v>
      </c>
      <c r="F139" t="s">
        <v>660</v>
      </c>
    </row>
    <row r="140" spans="1:6" x14ac:dyDescent="0.3">
      <c r="A140" t="s">
        <v>803</v>
      </c>
      <c r="B140" t="s">
        <v>65</v>
      </c>
      <c r="C140" t="s">
        <v>662</v>
      </c>
      <c r="D140">
        <v>7</v>
      </c>
      <c r="E140" s="1">
        <v>45443</v>
      </c>
      <c r="F140" t="s">
        <v>660</v>
      </c>
    </row>
    <row r="141" spans="1:6" x14ac:dyDescent="0.3">
      <c r="A141" t="s">
        <v>804</v>
      </c>
      <c r="B141" t="s">
        <v>19</v>
      </c>
      <c r="C141" t="s">
        <v>664</v>
      </c>
      <c r="D141">
        <v>0</v>
      </c>
      <c r="E141" s="1">
        <v>45318</v>
      </c>
      <c r="F141" t="s">
        <v>668</v>
      </c>
    </row>
    <row r="142" spans="1:6" x14ac:dyDescent="0.3">
      <c r="A142" t="s">
        <v>805</v>
      </c>
      <c r="B142" t="s">
        <v>12</v>
      </c>
      <c r="C142" t="s">
        <v>664</v>
      </c>
      <c r="D142">
        <v>0</v>
      </c>
      <c r="E142" s="1">
        <v>45439</v>
      </c>
      <c r="F142" t="s">
        <v>665</v>
      </c>
    </row>
    <row r="143" spans="1:6" x14ac:dyDescent="0.3">
      <c r="A143" t="s">
        <v>806</v>
      </c>
      <c r="B143" t="s">
        <v>70</v>
      </c>
      <c r="C143" t="s">
        <v>659</v>
      </c>
      <c r="D143">
        <v>2</v>
      </c>
      <c r="E143" s="1">
        <v>45305</v>
      </c>
      <c r="F143" t="s">
        <v>668</v>
      </c>
    </row>
    <row r="144" spans="1:6" x14ac:dyDescent="0.3">
      <c r="A144" t="s">
        <v>807</v>
      </c>
      <c r="B144" t="s">
        <v>23</v>
      </c>
      <c r="C144" t="s">
        <v>662</v>
      </c>
      <c r="D144">
        <v>8</v>
      </c>
      <c r="E144" s="1">
        <v>45574</v>
      </c>
      <c r="F144" t="s">
        <v>668</v>
      </c>
    </row>
    <row r="145" spans="1:6" x14ac:dyDescent="0.3">
      <c r="A145" t="s">
        <v>808</v>
      </c>
      <c r="B145" t="s">
        <v>65</v>
      </c>
      <c r="C145" t="s">
        <v>659</v>
      </c>
      <c r="D145">
        <v>3</v>
      </c>
      <c r="E145" s="1">
        <v>45406</v>
      </c>
      <c r="F145" t="s">
        <v>660</v>
      </c>
    </row>
    <row r="146" spans="1:6" x14ac:dyDescent="0.3">
      <c r="A146" t="s">
        <v>809</v>
      </c>
      <c r="B146" t="s">
        <v>8</v>
      </c>
      <c r="C146" t="s">
        <v>689</v>
      </c>
      <c r="D146">
        <v>0</v>
      </c>
      <c r="E146" s="1">
        <v>45519</v>
      </c>
      <c r="F146" t="s">
        <v>668</v>
      </c>
    </row>
    <row r="147" spans="1:6" x14ac:dyDescent="0.3">
      <c r="A147" t="s">
        <v>810</v>
      </c>
      <c r="B147" t="s">
        <v>65</v>
      </c>
      <c r="C147" t="s">
        <v>674</v>
      </c>
      <c r="D147">
        <v>5</v>
      </c>
      <c r="E147" s="1">
        <v>45373</v>
      </c>
      <c r="F147" t="s">
        <v>668</v>
      </c>
    </row>
    <row r="148" spans="1:6" x14ac:dyDescent="0.3">
      <c r="A148" t="s">
        <v>811</v>
      </c>
      <c r="B148" t="s">
        <v>65</v>
      </c>
      <c r="C148" t="s">
        <v>664</v>
      </c>
      <c r="D148">
        <v>3</v>
      </c>
      <c r="E148" s="1">
        <v>45613</v>
      </c>
      <c r="F148" t="s">
        <v>668</v>
      </c>
    </row>
    <row r="149" spans="1:6" x14ac:dyDescent="0.3">
      <c r="A149" t="s">
        <v>812</v>
      </c>
      <c r="B149" t="s">
        <v>12</v>
      </c>
      <c r="C149" t="s">
        <v>689</v>
      </c>
      <c r="D149">
        <v>2</v>
      </c>
      <c r="E149" s="1">
        <v>45335</v>
      </c>
      <c r="F149" t="s">
        <v>668</v>
      </c>
    </row>
    <row r="150" spans="1:6" x14ac:dyDescent="0.3">
      <c r="A150" t="s">
        <v>813</v>
      </c>
      <c r="B150" t="s">
        <v>65</v>
      </c>
      <c r="C150" t="s">
        <v>664</v>
      </c>
      <c r="D150">
        <v>7</v>
      </c>
      <c r="E150" s="1">
        <v>45448</v>
      </c>
      <c r="F150" t="s">
        <v>668</v>
      </c>
    </row>
    <row r="151" spans="1:6" x14ac:dyDescent="0.3">
      <c r="A151" t="s">
        <v>814</v>
      </c>
      <c r="B151" t="s">
        <v>23</v>
      </c>
      <c r="C151" t="s">
        <v>664</v>
      </c>
      <c r="D151">
        <v>4</v>
      </c>
      <c r="E151" s="1">
        <v>45616</v>
      </c>
      <c r="F151" t="s">
        <v>685</v>
      </c>
    </row>
    <row r="152" spans="1:6" x14ac:dyDescent="0.3">
      <c r="A152" t="s">
        <v>815</v>
      </c>
      <c r="B152" t="s">
        <v>23</v>
      </c>
      <c r="C152" t="s">
        <v>674</v>
      </c>
      <c r="D152">
        <v>5</v>
      </c>
      <c r="E152" s="1">
        <v>45594</v>
      </c>
      <c r="F152" t="s">
        <v>668</v>
      </c>
    </row>
    <row r="153" spans="1:6" x14ac:dyDescent="0.3">
      <c r="A153" t="s">
        <v>816</v>
      </c>
      <c r="B153" t="s">
        <v>70</v>
      </c>
      <c r="C153" t="s">
        <v>664</v>
      </c>
      <c r="D153">
        <v>0</v>
      </c>
      <c r="E153" s="1">
        <v>45619</v>
      </c>
      <c r="F153" t="s">
        <v>665</v>
      </c>
    </row>
    <row r="154" spans="1:6" x14ac:dyDescent="0.3">
      <c r="A154" t="s">
        <v>817</v>
      </c>
      <c r="B154" t="s">
        <v>19</v>
      </c>
      <c r="C154" t="s">
        <v>662</v>
      </c>
      <c r="D154">
        <v>3</v>
      </c>
      <c r="E154" s="1">
        <v>45348</v>
      </c>
      <c r="F154" t="s">
        <v>668</v>
      </c>
    </row>
    <row r="155" spans="1:6" x14ac:dyDescent="0.3">
      <c r="A155" t="s">
        <v>818</v>
      </c>
      <c r="B155" t="s">
        <v>19</v>
      </c>
      <c r="C155" t="s">
        <v>689</v>
      </c>
      <c r="D155">
        <v>4</v>
      </c>
      <c r="E155" s="1">
        <v>45504</v>
      </c>
      <c r="F155" t="s">
        <v>665</v>
      </c>
    </row>
    <row r="156" spans="1:6" x14ac:dyDescent="0.3">
      <c r="A156" t="s">
        <v>819</v>
      </c>
      <c r="B156" t="s">
        <v>23</v>
      </c>
      <c r="C156" t="s">
        <v>662</v>
      </c>
      <c r="D156">
        <v>4</v>
      </c>
      <c r="E156" s="1">
        <v>45558</v>
      </c>
      <c r="F156" t="s">
        <v>660</v>
      </c>
    </row>
    <row r="157" spans="1:6" x14ac:dyDescent="0.3">
      <c r="A157" t="s">
        <v>820</v>
      </c>
      <c r="B157" t="s">
        <v>23</v>
      </c>
      <c r="C157" t="s">
        <v>659</v>
      </c>
      <c r="D157">
        <v>5</v>
      </c>
      <c r="E157" s="1">
        <v>45325</v>
      </c>
      <c r="F157" t="s">
        <v>660</v>
      </c>
    </row>
    <row r="158" spans="1:6" x14ac:dyDescent="0.3">
      <c r="A158" t="s">
        <v>821</v>
      </c>
      <c r="B158" t="s">
        <v>12</v>
      </c>
      <c r="C158" t="s">
        <v>689</v>
      </c>
      <c r="D158">
        <v>5</v>
      </c>
      <c r="E158" s="1">
        <v>45387</v>
      </c>
      <c r="F158" t="s">
        <v>665</v>
      </c>
    </row>
    <row r="159" spans="1:6" x14ac:dyDescent="0.3">
      <c r="A159" t="s">
        <v>822</v>
      </c>
      <c r="B159" t="s">
        <v>70</v>
      </c>
      <c r="C159" t="s">
        <v>674</v>
      </c>
      <c r="D159">
        <v>0</v>
      </c>
      <c r="E159" s="1">
        <v>45341</v>
      </c>
      <c r="F159" t="s">
        <v>668</v>
      </c>
    </row>
    <row r="160" spans="1:6" x14ac:dyDescent="0.3">
      <c r="A160" t="s">
        <v>823</v>
      </c>
      <c r="B160" t="s">
        <v>70</v>
      </c>
      <c r="C160" t="s">
        <v>674</v>
      </c>
      <c r="D160">
        <v>0</v>
      </c>
      <c r="E160" s="1">
        <v>45565</v>
      </c>
      <c r="F160" t="s">
        <v>668</v>
      </c>
    </row>
    <row r="161" spans="1:6" x14ac:dyDescent="0.3">
      <c r="A161" t="s">
        <v>824</v>
      </c>
      <c r="B161" t="s">
        <v>23</v>
      </c>
      <c r="C161" t="s">
        <v>662</v>
      </c>
      <c r="D161">
        <v>6</v>
      </c>
      <c r="E161" s="1">
        <v>45481</v>
      </c>
      <c r="F161" t="s">
        <v>668</v>
      </c>
    </row>
    <row r="162" spans="1:6" x14ac:dyDescent="0.3">
      <c r="A162" t="s">
        <v>825</v>
      </c>
      <c r="B162" t="s">
        <v>65</v>
      </c>
      <c r="C162" t="s">
        <v>674</v>
      </c>
      <c r="D162">
        <v>1</v>
      </c>
      <c r="E162" s="1">
        <v>45619</v>
      </c>
      <c r="F162" t="s">
        <v>668</v>
      </c>
    </row>
    <row r="163" spans="1:6" x14ac:dyDescent="0.3">
      <c r="A163" t="s">
        <v>826</v>
      </c>
      <c r="B163" t="s">
        <v>70</v>
      </c>
      <c r="C163" t="s">
        <v>689</v>
      </c>
      <c r="D163">
        <v>9</v>
      </c>
      <c r="E163" s="1">
        <v>45301</v>
      </c>
      <c r="F163" t="s">
        <v>668</v>
      </c>
    </row>
    <row r="164" spans="1:6" x14ac:dyDescent="0.3">
      <c r="A164" t="s">
        <v>827</v>
      </c>
      <c r="B164" t="s">
        <v>65</v>
      </c>
      <c r="C164" t="s">
        <v>689</v>
      </c>
      <c r="D164">
        <v>1</v>
      </c>
      <c r="E164" s="1">
        <v>45474</v>
      </c>
      <c r="F164" t="s">
        <v>685</v>
      </c>
    </row>
    <row r="165" spans="1:6" x14ac:dyDescent="0.3">
      <c r="A165" t="s">
        <v>828</v>
      </c>
      <c r="B165" t="s">
        <v>65</v>
      </c>
      <c r="C165" t="s">
        <v>664</v>
      </c>
      <c r="D165">
        <v>2</v>
      </c>
      <c r="E165" s="1">
        <v>45337</v>
      </c>
      <c r="F165" t="s">
        <v>665</v>
      </c>
    </row>
    <row r="166" spans="1:6" x14ac:dyDescent="0.3">
      <c r="A166" t="s">
        <v>829</v>
      </c>
      <c r="B166" t="s">
        <v>65</v>
      </c>
      <c r="C166" t="s">
        <v>674</v>
      </c>
      <c r="D166">
        <v>9</v>
      </c>
      <c r="E166" s="1">
        <v>45405</v>
      </c>
      <c r="F166" t="s">
        <v>660</v>
      </c>
    </row>
    <row r="167" spans="1:6" x14ac:dyDescent="0.3">
      <c r="A167" t="s">
        <v>830</v>
      </c>
      <c r="B167" t="s">
        <v>19</v>
      </c>
      <c r="C167" t="s">
        <v>659</v>
      </c>
      <c r="D167">
        <v>2</v>
      </c>
      <c r="E167" s="1">
        <v>45434</v>
      </c>
      <c r="F167" t="s">
        <v>668</v>
      </c>
    </row>
    <row r="168" spans="1:6" x14ac:dyDescent="0.3">
      <c r="A168" t="s">
        <v>831</v>
      </c>
      <c r="B168" t="s">
        <v>70</v>
      </c>
      <c r="C168" t="s">
        <v>659</v>
      </c>
      <c r="D168">
        <v>5</v>
      </c>
      <c r="E168" s="1">
        <v>45474</v>
      </c>
      <c r="F168" t="s">
        <v>660</v>
      </c>
    </row>
    <row r="169" spans="1:6" x14ac:dyDescent="0.3">
      <c r="A169" t="s">
        <v>832</v>
      </c>
      <c r="B169" t="s">
        <v>70</v>
      </c>
      <c r="C169" t="s">
        <v>659</v>
      </c>
      <c r="D169">
        <v>5</v>
      </c>
      <c r="E169" s="1">
        <v>45501</v>
      </c>
      <c r="F169" t="s">
        <v>668</v>
      </c>
    </row>
    <row r="170" spans="1:6" x14ac:dyDescent="0.3">
      <c r="A170" t="s">
        <v>833</v>
      </c>
      <c r="B170" t="s">
        <v>12</v>
      </c>
      <c r="C170" t="s">
        <v>659</v>
      </c>
      <c r="D170">
        <v>4</v>
      </c>
      <c r="E170" s="1">
        <v>45613</v>
      </c>
      <c r="F170" t="s">
        <v>668</v>
      </c>
    </row>
    <row r="171" spans="1:6" x14ac:dyDescent="0.3">
      <c r="A171" t="s">
        <v>834</v>
      </c>
      <c r="B171" t="s">
        <v>23</v>
      </c>
      <c r="C171" t="s">
        <v>674</v>
      </c>
      <c r="D171">
        <v>4</v>
      </c>
      <c r="E171" s="1">
        <v>45368</v>
      </c>
      <c r="F171" t="s">
        <v>668</v>
      </c>
    </row>
    <row r="172" spans="1:6" x14ac:dyDescent="0.3">
      <c r="A172" t="s">
        <v>835</v>
      </c>
      <c r="B172" t="s">
        <v>23</v>
      </c>
      <c r="C172" t="s">
        <v>659</v>
      </c>
      <c r="D172">
        <v>1</v>
      </c>
      <c r="E172" s="1">
        <v>45354</v>
      </c>
      <c r="F172" t="s">
        <v>668</v>
      </c>
    </row>
    <row r="173" spans="1:6" x14ac:dyDescent="0.3">
      <c r="A173" t="s">
        <v>836</v>
      </c>
      <c r="B173" t="s">
        <v>23</v>
      </c>
      <c r="C173" t="s">
        <v>662</v>
      </c>
      <c r="D173">
        <v>6</v>
      </c>
      <c r="E173" s="1">
        <v>45421</v>
      </c>
      <c r="F173" t="s">
        <v>660</v>
      </c>
    </row>
    <row r="174" spans="1:6" x14ac:dyDescent="0.3">
      <c r="A174" t="s">
        <v>837</v>
      </c>
      <c r="B174" t="s">
        <v>70</v>
      </c>
      <c r="C174" t="s">
        <v>689</v>
      </c>
      <c r="D174">
        <v>0</v>
      </c>
      <c r="E174" s="1">
        <v>45437</v>
      </c>
      <c r="F174" t="s">
        <v>665</v>
      </c>
    </row>
    <row r="175" spans="1:6" x14ac:dyDescent="0.3">
      <c r="A175" t="s">
        <v>838</v>
      </c>
      <c r="B175" t="s">
        <v>65</v>
      </c>
      <c r="C175" t="s">
        <v>659</v>
      </c>
      <c r="D175">
        <v>6</v>
      </c>
      <c r="E175" s="1">
        <v>45598</v>
      </c>
      <c r="F175" t="s">
        <v>668</v>
      </c>
    </row>
    <row r="176" spans="1:6" x14ac:dyDescent="0.3">
      <c r="A176" t="s">
        <v>839</v>
      </c>
      <c r="B176" t="s">
        <v>70</v>
      </c>
      <c r="C176" t="s">
        <v>659</v>
      </c>
      <c r="D176">
        <v>9</v>
      </c>
      <c r="E176" s="1">
        <v>45446</v>
      </c>
      <c r="F176" t="s">
        <v>660</v>
      </c>
    </row>
    <row r="177" spans="1:6" x14ac:dyDescent="0.3">
      <c r="A177" t="s">
        <v>840</v>
      </c>
      <c r="B177" t="s">
        <v>23</v>
      </c>
      <c r="C177" t="s">
        <v>662</v>
      </c>
      <c r="D177">
        <v>0</v>
      </c>
      <c r="E177" s="1">
        <v>45343</v>
      </c>
      <c r="F177" t="s">
        <v>660</v>
      </c>
    </row>
    <row r="178" spans="1:6" x14ac:dyDescent="0.3">
      <c r="A178" t="s">
        <v>841</v>
      </c>
      <c r="B178" t="s">
        <v>23</v>
      </c>
      <c r="C178" t="s">
        <v>659</v>
      </c>
      <c r="D178">
        <v>5</v>
      </c>
      <c r="E178" s="1">
        <v>45595</v>
      </c>
      <c r="F178" t="s">
        <v>660</v>
      </c>
    </row>
    <row r="179" spans="1:6" x14ac:dyDescent="0.3">
      <c r="A179" t="s">
        <v>842</v>
      </c>
      <c r="B179" t="s">
        <v>12</v>
      </c>
      <c r="C179" t="s">
        <v>662</v>
      </c>
      <c r="D179">
        <v>9</v>
      </c>
      <c r="E179" s="1">
        <v>45358</v>
      </c>
      <c r="F179" t="s">
        <v>660</v>
      </c>
    </row>
    <row r="180" spans="1:6" x14ac:dyDescent="0.3">
      <c r="A180" t="s">
        <v>843</v>
      </c>
      <c r="B180" t="s">
        <v>12</v>
      </c>
      <c r="C180" t="s">
        <v>662</v>
      </c>
      <c r="D180">
        <v>8</v>
      </c>
      <c r="E180" s="1">
        <v>45349</v>
      </c>
      <c r="F180" t="s">
        <v>668</v>
      </c>
    </row>
    <row r="181" spans="1:6" x14ac:dyDescent="0.3">
      <c r="A181" t="s">
        <v>844</v>
      </c>
      <c r="B181" t="s">
        <v>19</v>
      </c>
      <c r="C181" t="s">
        <v>659</v>
      </c>
      <c r="D181">
        <v>2</v>
      </c>
      <c r="E181" s="1">
        <v>45507</v>
      </c>
      <c r="F181" t="s">
        <v>660</v>
      </c>
    </row>
    <row r="182" spans="1:6" x14ac:dyDescent="0.3">
      <c r="A182" t="s">
        <v>845</v>
      </c>
      <c r="B182" t="s">
        <v>65</v>
      </c>
      <c r="C182" t="s">
        <v>689</v>
      </c>
      <c r="D182">
        <v>6</v>
      </c>
      <c r="E182" s="1">
        <v>45483</v>
      </c>
      <c r="F182" t="s">
        <v>665</v>
      </c>
    </row>
    <row r="183" spans="1:6" x14ac:dyDescent="0.3">
      <c r="A183" t="s">
        <v>846</v>
      </c>
      <c r="B183" t="s">
        <v>65</v>
      </c>
      <c r="C183" t="s">
        <v>662</v>
      </c>
      <c r="D183">
        <v>4</v>
      </c>
      <c r="E183" s="1">
        <v>45472</v>
      </c>
      <c r="F183" t="s">
        <v>660</v>
      </c>
    </row>
    <row r="184" spans="1:6" x14ac:dyDescent="0.3">
      <c r="A184" t="s">
        <v>847</v>
      </c>
      <c r="B184" t="s">
        <v>12</v>
      </c>
      <c r="C184" t="s">
        <v>662</v>
      </c>
      <c r="D184">
        <v>8</v>
      </c>
      <c r="E184" s="1">
        <v>45388</v>
      </c>
      <c r="F184" t="s">
        <v>660</v>
      </c>
    </row>
    <row r="185" spans="1:6" x14ac:dyDescent="0.3">
      <c r="A185" t="s">
        <v>848</v>
      </c>
      <c r="B185" t="s">
        <v>23</v>
      </c>
      <c r="C185" t="s">
        <v>674</v>
      </c>
      <c r="D185">
        <v>6</v>
      </c>
      <c r="E185" s="1">
        <v>45390</v>
      </c>
      <c r="F185" t="s">
        <v>668</v>
      </c>
    </row>
    <row r="186" spans="1:6" x14ac:dyDescent="0.3">
      <c r="A186" t="s">
        <v>849</v>
      </c>
      <c r="B186" t="s">
        <v>65</v>
      </c>
      <c r="C186" t="s">
        <v>664</v>
      </c>
      <c r="D186">
        <v>3</v>
      </c>
      <c r="E186" s="1">
        <v>45294</v>
      </c>
      <c r="F186" t="s">
        <v>685</v>
      </c>
    </row>
    <row r="187" spans="1:6" x14ac:dyDescent="0.3">
      <c r="A187" t="s">
        <v>850</v>
      </c>
      <c r="B187" t="s">
        <v>19</v>
      </c>
      <c r="C187" t="s">
        <v>689</v>
      </c>
      <c r="D187">
        <v>9</v>
      </c>
      <c r="E187" s="1">
        <v>45573</v>
      </c>
      <c r="F187" t="s">
        <v>668</v>
      </c>
    </row>
    <row r="188" spans="1:6" x14ac:dyDescent="0.3">
      <c r="A188" t="s">
        <v>851</v>
      </c>
      <c r="B188" t="s">
        <v>23</v>
      </c>
      <c r="C188" t="s">
        <v>664</v>
      </c>
      <c r="D188">
        <v>9</v>
      </c>
      <c r="E188" s="1">
        <v>45480</v>
      </c>
      <c r="F188" t="s">
        <v>668</v>
      </c>
    </row>
    <row r="189" spans="1:6" x14ac:dyDescent="0.3">
      <c r="A189" t="s">
        <v>852</v>
      </c>
      <c r="B189" t="s">
        <v>23</v>
      </c>
      <c r="C189" t="s">
        <v>674</v>
      </c>
      <c r="D189">
        <v>3</v>
      </c>
      <c r="E189" s="1">
        <v>45543</v>
      </c>
      <c r="F189" t="s">
        <v>660</v>
      </c>
    </row>
    <row r="190" spans="1:6" x14ac:dyDescent="0.3">
      <c r="A190" t="s">
        <v>853</v>
      </c>
      <c r="B190" t="s">
        <v>12</v>
      </c>
      <c r="C190" t="s">
        <v>674</v>
      </c>
      <c r="D190">
        <v>1</v>
      </c>
      <c r="E190" s="1">
        <v>45319</v>
      </c>
      <c r="F190" t="s">
        <v>660</v>
      </c>
    </row>
    <row r="191" spans="1:6" x14ac:dyDescent="0.3">
      <c r="A191" t="s">
        <v>854</v>
      </c>
      <c r="B191" t="s">
        <v>70</v>
      </c>
      <c r="C191" t="s">
        <v>659</v>
      </c>
      <c r="D191">
        <v>5</v>
      </c>
      <c r="E191" s="1">
        <v>45427</v>
      </c>
      <c r="F191" t="s">
        <v>668</v>
      </c>
    </row>
    <row r="192" spans="1:6" x14ac:dyDescent="0.3">
      <c r="A192" t="s">
        <v>855</v>
      </c>
      <c r="B192" t="s">
        <v>23</v>
      </c>
      <c r="C192" t="s">
        <v>659</v>
      </c>
      <c r="D192">
        <v>5</v>
      </c>
      <c r="E192" s="1">
        <v>45455</v>
      </c>
      <c r="F192" t="s">
        <v>660</v>
      </c>
    </row>
    <row r="193" spans="1:6" x14ac:dyDescent="0.3">
      <c r="A193" t="s">
        <v>856</v>
      </c>
      <c r="B193" t="s">
        <v>23</v>
      </c>
      <c r="C193" t="s">
        <v>674</v>
      </c>
      <c r="D193">
        <v>6</v>
      </c>
      <c r="E193" s="1">
        <v>45364</v>
      </c>
      <c r="F193" t="s">
        <v>668</v>
      </c>
    </row>
    <row r="194" spans="1:6" x14ac:dyDescent="0.3">
      <c r="A194" t="s">
        <v>857</v>
      </c>
      <c r="B194" t="s">
        <v>23</v>
      </c>
      <c r="C194" t="s">
        <v>659</v>
      </c>
      <c r="D194">
        <v>2</v>
      </c>
      <c r="E194" s="1">
        <v>45435</v>
      </c>
      <c r="F194" t="s">
        <v>660</v>
      </c>
    </row>
    <row r="195" spans="1:6" x14ac:dyDescent="0.3">
      <c r="A195" t="s">
        <v>858</v>
      </c>
      <c r="B195" t="s">
        <v>65</v>
      </c>
      <c r="C195" t="s">
        <v>662</v>
      </c>
      <c r="D195">
        <v>2</v>
      </c>
      <c r="E195" s="1">
        <v>45317</v>
      </c>
      <c r="F195" t="s">
        <v>660</v>
      </c>
    </row>
    <row r="196" spans="1:6" x14ac:dyDescent="0.3">
      <c r="A196" t="s">
        <v>864</v>
      </c>
      <c r="B196" t="s">
        <v>65</v>
      </c>
      <c r="C196" t="s">
        <v>864</v>
      </c>
      <c r="D196">
        <v>9</v>
      </c>
      <c r="E196" t="s">
        <v>864</v>
      </c>
      <c r="F196" t="s">
        <v>660</v>
      </c>
    </row>
    <row r="197" spans="1:6" x14ac:dyDescent="0.3">
      <c r="A197" t="s">
        <v>859</v>
      </c>
      <c r="B197" t="s">
        <v>23</v>
      </c>
      <c r="C197" t="s">
        <v>662</v>
      </c>
      <c r="D197">
        <v>1</v>
      </c>
      <c r="E197" s="1">
        <v>45377</v>
      </c>
      <c r="F197" t="s">
        <v>660</v>
      </c>
    </row>
    <row r="198" spans="1:6" x14ac:dyDescent="0.3">
      <c r="A198" t="s">
        <v>860</v>
      </c>
      <c r="B198" t="s">
        <v>70</v>
      </c>
      <c r="C198" t="s">
        <v>689</v>
      </c>
      <c r="D198">
        <v>1</v>
      </c>
      <c r="E198" s="1">
        <v>45645</v>
      </c>
      <c r="F198" t="s">
        <v>668</v>
      </c>
    </row>
    <row r="199" spans="1:6" x14ac:dyDescent="0.3">
      <c r="A199" t="s">
        <v>861</v>
      </c>
      <c r="B199" t="s">
        <v>23</v>
      </c>
      <c r="C199" t="s">
        <v>662</v>
      </c>
      <c r="D199">
        <v>8</v>
      </c>
      <c r="E199" s="1">
        <v>45368</v>
      </c>
      <c r="F199" t="s">
        <v>660</v>
      </c>
    </row>
    <row r="200" spans="1:6" x14ac:dyDescent="0.3">
      <c r="A200" t="s">
        <v>862</v>
      </c>
      <c r="B200" t="s">
        <v>23</v>
      </c>
      <c r="C200" t="s">
        <v>674</v>
      </c>
      <c r="D200">
        <v>6</v>
      </c>
      <c r="E200" s="1">
        <v>45432</v>
      </c>
      <c r="F200" t="s">
        <v>660</v>
      </c>
    </row>
    <row r="201" spans="1:6" x14ac:dyDescent="0.3">
      <c r="A201" t="s">
        <v>863</v>
      </c>
      <c r="B201" t="s">
        <v>19</v>
      </c>
      <c r="C201" t="s">
        <v>662</v>
      </c>
      <c r="D201">
        <v>8</v>
      </c>
      <c r="E201" s="1">
        <v>45568</v>
      </c>
      <c r="F201" t="s">
        <v>668</v>
      </c>
    </row>
  </sheetData>
  <conditionalFormatting sqref="A1:F201">
    <cfRule type="containsBlanks" dxfId="1" priority="1">
      <formula>LEN(TRIM(A1))=0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64EEA-6060-4F52-AC1E-E4704A212A18}">
  <dimension ref="A3:B11"/>
  <sheetViews>
    <sheetView workbookViewId="0">
      <selection activeCell="B6" sqref="B6"/>
    </sheetView>
  </sheetViews>
  <sheetFormatPr defaultRowHeight="14.4" x14ac:dyDescent="0.3"/>
  <cols>
    <col min="1" max="1" width="15.33203125" bestFit="1" customWidth="1"/>
    <col min="2" max="2" width="20.77734375" bestFit="1" customWidth="1"/>
  </cols>
  <sheetData>
    <row r="3" spans="1:2" x14ac:dyDescent="0.3">
      <c r="A3" s="4" t="s">
        <v>866</v>
      </c>
      <c r="B3" t="s">
        <v>868</v>
      </c>
    </row>
    <row r="4" spans="1:2" x14ac:dyDescent="0.3">
      <c r="A4" s="5" t="s">
        <v>8</v>
      </c>
      <c r="B4" s="6">
        <v>4.4545454545454541</v>
      </c>
    </row>
    <row r="5" spans="1:2" x14ac:dyDescent="0.3">
      <c r="A5" s="5" t="s">
        <v>70</v>
      </c>
      <c r="B5" s="6">
        <v>4.5128205128205128</v>
      </c>
    </row>
    <row r="6" spans="1:2" x14ac:dyDescent="0.3">
      <c r="A6" s="5" t="s">
        <v>864</v>
      </c>
      <c r="B6" s="6">
        <v>1</v>
      </c>
    </row>
    <row r="7" spans="1:2" x14ac:dyDescent="0.3">
      <c r="A7" s="5" t="s">
        <v>19</v>
      </c>
      <c r="B7" s="6">
        <v>4.2941176470588234</v>
      </c>
    </row>
    <row r="8" spans="1:2" x14ac:dyDescent="0.3">
      <c r="A8" s="5" t="s">
        <v>65</v>
      </c>
      <c r="B8" s="6">
        <v>3.8333333333333335</v>
      </c>
    </row>
    <row r="9" spans="1:2" x14ac:dyDescent="0.3">
      <c r="A9" s="5" t="s">
        <v>12</v>
      </c>
      <c r="B9" s="6">
        <v>4.4444444444444446</v>
      </c>
    </row>
    <row r="10" spans="1:2" x14ac:dyDescent="0.3">
      <c r="A10" s="5" t="s">
        <v>23</v>
      </c>
      <c r="B10" s="6">
        <v>4.8</v>
      </c>
    </row>
    <row r="11" spans="1:2" x14ac:dyDescent="0.3">
      <c r="A11" s="5" t="s">
        <v>867</v>
      </c>
      <c r="B11" s="6">
        <v>4.3600000000000003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F221A-B37D-4329-829A-97191041A6FC}">
  <dimension ref="A3:I28"/>
  <sheetViews>
    <sheetView tabSelected="1" workbookViewId="0">
      <selection activeCell="G7" sqref="G7"/>
    </sheetView>
  </sheetViews>
  <sheetFormatPr defaultRowHeight="14.4" x14ac:dyDescent="0.3"/>
  <cols>
    <col min="1" max="1" width="22.109375" bestFit="1" customWidth="1"/>
    <col min="2" max="2" width="15.5546875" bestFit="1" customWidth="1"/>
    <col min="3" max="3" width="15.77734375" bestFit="1" customWidth="1"/>
    <col min="4" max="4" width="4.44140625" bestFit="1" customWidth="1"/>
    <col min="5" max="5" width="9.77734375" bestFit="1" customWidth="1"/>
    <col min="6" max="6" width="9" bestFit="1" customWidth="1"/>
    <col min="7" max="7" width="11.21875" bestFit="1" customWidth="1"/>
    <col min="8" max="8" width="8.33203125" bestFit="1" customWidth="1"/>
    <col min="9" max="9" width="10.77734375" bestFit="1" customWidth="1"/>
    <col min="10" max="10" width="9.77734375" bestFit="1" customWidth="1"/>
    <col min="11" max="11" width="9" bestFit="1" customWidth="1"/>
    <col min="12" max="12" width="8.33203125" bestFit="1" customWidth="1"/>
    <col min="13" max="13" width="16.33203125" bestFit="1" customWidth="1"/>
    <col min="14" max="14" width="13.5546875" bestFit="1" customWidth="1"/>
    <col min="15" max="15" width="15.77734375" bestFit="1" customWidth="1"/>
    <col min="16" max="16" width="11.21875" bestFit="1" customWidth="1"/>
    <col min="17" max="17" width="8.33203125" bestFit="1" customWidth="1"/>
    <col min="18" max="18" width="16.33203125" bestFit="1" customWidth="1"/>
    <col min="19" max="19" width="13.5546875" bestFit="1" customWidth="1"/>
    <col min="20" max="20" width="15.77734375" bestFit="1" customWidth="1"/>
    <col min="21" max="21" width="9.77734375" bestFit="1" customWidth="1"/>
    <col min="22" max="22" width="9" bestFit="1" customWidth="1"/>
    <col min="23" max="23" width="11.21875" bestFit="1" customWidth="1"/>
    <col min="24" max="24" width="8.33203125" bestFit="1" customWidth="1"/>
    <col min="25" max="25" width="16.33203125" bestFit="1" customWidth="1"/>
    <col min="26" max="26" width="13.5546875" bestFit="1" customWidth="1"/>
    <col min="27" max="27" width="15.77734375" bestFit="1" customWidth="1"/>
    <col min="28" max="28" width="11.21875" bestFit="1" customWidth="1"/>
    <col min="29" max="29" width="8.33203125" bestFit="1" customWidth="1"/>
    <col min="30" max="30" width="16.33203125" bestFit="1" customWidth="1"/>
    <col min="31" max="31" width="15.77734375" bestFit="1" customWidth="1"/>
    <col min="32" max="32" width="9.77734375" bestFit="1" customWidth="1"/>
    <col min="33" max="33" width="9" bestFit="1" customWidth="1"/>
    <col min="34" max="34" width="11.21875" bestFit="1" customWidth="1"/>
    <col min="35" max="35" width="8.33203125" bestFit="1" customWidth="1"/>
    <col min="36" max="36" width="16.33203125" bestFit="1" customWidth="1"/>
    <col min="37" max="37" width="15.77734375" bestFit="1" customWidth="1"/>
    <col min="38" max="38" width="9.77734375" bestFit="1" customWidth="1"/>
    <col min="39" max="39" width="8.33203125" bestFit="1" customWidth="1"/>
    <col min="40" max="40" width="16.33203125" bestFit="1" customWidth="1"/>
    <col min="41" max="41" width="13.5546875" bestFit="1" customWidth="1"/>
    <col min="42" max="42" width="15.77734375" bestFit="1" customWidth="1"/>
    <col min="43" max="43" width="9.77734375" bestFit="1" customWidth="1"/>
    <col min="44" max="44" width="9" bestFit="1" customWidth="1"/>
    <col min="45" max="45" width="11.21875" bestFit="1" customWidth="1"/>
    <col min="46" max="46" width="8.33203125" bestFit="1" customWidth="1"/>
    <col min="47" max="47" width="16.33203125" bestFit="1" customWidth="1"/>
    <col min="48" max="48" width="13.5546875" bestFit="1" customWidth="1"/>
    <col min="49" max="49" width="9.77734375" bestFit="1" customWidth="1"/>
    <col min="50" max="50" width="9" bestFit="1" customWidth="1"/>
    <col min="51" max="51" width="8.33203125" bestFit="1" customWidth="1"/>
    <col min="52" max="52" width="16.33203125" bestFit="1" customWidth="1"/>
    <col min="53" max="53" width="13.44140625" bestFit="1" customWidth="1"/>
    <col min="54" max="54" width="15.77734375" bestFit="1" customWidth="1"/>
    <col min="55" max="55" width="9.77734375" bestFit="1" customWidth="1"/>
    <col min="56" max="56" width="9" bestFit="1" customWidth="1"/>
    <col min="57" max="57" width="16.21875" bestFit="1" customWidth="1"/>
    <col min="58" max="58" width="13.44140625" bestFit="1" customWidth="1"/>
    <col min="59" max="59" width="9.77734375" bestFit="1" customWidth="1"/>
    <col min="60" max="60" width="11.21875" bestFit="1" customWidth="1"/>
    <col min="61" max="61" width="8.33203125" bestFit="1" customWidth="1"/>
    <col min="62" max="62" width="16.21875" bestFit="1" customWidth="1"/>
    <col min="63" max="63" width="13.44140625" bestFit="1" customWidth="1"/>
    <col min="64" max="64" width="15.77734375" bestFit="1" customWidth="1"/>
    <col min="65" max="65" width="9" bestFit="1" customWidth="1"/>
    <col min="66" max="66" width="11.21875" bestFit="1" customWidth="1"/>
    <col min="67" max="67" width="8.33203125" bestFit="1" customWidth="1"/>
    <col min="68" max="68" width="16.21875" bestFit="1" customWidth="1"/>
    <col min="69" max="69" width="15.77734375" bestFit="1" customWidth="1"/>
    <col min="70" max="70" width="9" bestFit="1" customWidth="1"/>
    <col min="71" max="71" width="11.21875" bestFit="1" customWidth="1"/>
    <col min="72" max="72" width="8.33203125" bestFit="1" customWidth="1"/>
    <col min="73" max="73" width="16.21875" bestFit="1" customWidth="1"/>
    <col min="74" max="74" width="13.44140625" bestFit="1" customWidth="1"/>
    <col min="75" max="75" width="15.77734375" bestFit="1" customWidth="1"/>
    <col min="76" max="76" width="11.21875" bestFit="1" customWidth="1"/>
    <col min="77" max="77" width="8.33203125" bestFit="1" customWidth="1"/>
    <col min="78" max="78" width="16.21875" bestFit="1" customWidth="1"/>
    <col min="79" max="79" width="13.44140625" bestFit="1" customWidth="1"/>
    <col min="80" max="80" width="9.77734375" bestFit="1" customWidth="1"/>
    <col min="81" max="81" width="9" bestFit="1" customWidth="1"/>
    <col min="82" max="82" width="8.33203125" bestFit="1" customWidth="1"/>
    <col min="83" max="83" width="16.21875" bestFit="1" customWidth="1"/>
    <col min="84" max="84" width="13.44140625" bestFit="1" customWidth="1"/>
    <col min="85" max="85" width="15.77734375" bestFit="1" customWidth="1"/>
    <col min="86" max="86" width="9.77734375" bestFit="1" customWidth="1"/>
    <col min="87" max="87" width="9" bestFit="1" customWidth="1"/>
    <col min="88" max="88" width="11.21875" bestFit="1" customWidth="1"/>
    <col min="89" max="89" width="16.21875" bestFit="1" customWidth="1"/>
    <col min="90" max="90" width="13.44140625" bestFit="1" customWidth="1"/>
    <col min="91" max="91" width="15.77734375" bestFit="1" customWidth="1"/>
    <col min="92" max="92" width="9.77734375" bestFit="1" customWidth="1"/>
    <col min="93" max="93" width="9" bestFit="1" customWidth="1"/>
    <col min="94" max="94" width="11.21875" bestFit="1" customWidth="1"/>
    <col min="95" max="95" width="16.21875" bestFit="1" customWidth="1"/>
    <col min="96" max="96" width="13.44140625" bestFit="1" customWidth="1"/>
    <col min="97" max="97" width="15.77734375" bestFit="1" customWidth="1"/>
    <col min="98" max="98" width="9.77734375" bestFit="1" customWidth="1"/>
    <col min="99" max="99" width="9" bestFit="1" customWidth="1"/>
    <col min="100" max="100" width="11.21875" bestFit="1" customWidth="1"/>
    <col min="101" max="101" width="8.33203125" bestFit="1" customWidth="1"/>
    <col min="102" max="102" width="16.21875" bestFit="1" customWidth="1"/>
    <col min="103" max="103" width="13.44140625" bestFit="1" customWidth="1"/>
    <col min="104" max="104" width="15.77734375" bestFit="1" customWidth="1"/>
    <col min="105" max="105" width="9.77734375" bestFit="1" customWidth="1"/>
    <col min="106" max="106" width="9" bestFit="1" customWidth="1"/>
    <col min="107" max="107" width="11.21875" bestFit="1" customWidth="1"/>
    <col min="108" max="108" width="8.33203125" bestFit="1" customWidth="1"/>
    <col min="109" max="109" width="16.21875" bestFit="1" customWidth="1"/>
    <col min="110" max="110" width="15.77734375" bestFit="1" customWidth="1"/>
    <col min="111" max="111" width="9.77734375" bestFit="1" customWidth="1"/>
    <col min="112" max="112" width="9" bestFit="1" customWidth="1"/>
    <col min="113" max="113" width="11.21875" bestFit="1" customWidth="1"/>
    <col min="114" max="114" width="8.33203125" bestFit="1" customWidth="1"/>
    <col min="115" max="115" width="16.21875" bestFit="1" customWidth="1"/>
    <col min="116" max="116" width="13.44140625" bestFit="1" customWidth="1"/>
    <col min="117" max="117" width="9" bestFit="1" customWidth="1"/>
    <col min="118" max="118" width="11.21875" bestFit="1" customWidth="1"/>
    <col min="119" max="119" width="8.33203125" bestFit="1" customWidth="1"/>
    <col min="120" max="120" width="16.21875" bestFit="1" customWidth="1"/>
    <col min="121" max="121" width="13.44140625" bestFit="1" customWidth="1"/>
    <col min="122" max="122" width="15.77734375" bestFit="1" customWidth="1"/>
    <col min="123" max="123" width="9.77734375" bestFit="1" customWidth="1"/>
    <col min="124" max="124" width="9" bestFit="1" customWidth="1"/>
    <col min="125" max="125" width="11.21875" bestFit="1" customWidth="1"/>
    <col min="126" max="126" width="8.33203125" bestFit="1" customWidth="1"/>
    <col min="127" max="127" width="16.21875" bestFit="1" customWidth="1"/>
    <col min="128" max="128" width="13.44140625" bestFit="1" customWidth="1"/>
    <col min="129" max="129" width="15.77734375" bestFit="1" customWidth="1"/>
    <col min="130" max="130" width="9.77734375" bestFit="1" customWidth="1"/>
    <col min="131" max="131" width="9" bestFit="1" customWidth="1"/>
    <col min="132" max="132" width="11.21875" bestFit="1" customWidth="1"/>
    <col min="133" max="133" width="8.33203125" bestFit="1" customWidth="1"/>
    <col min="134" max="134" width="16.21875" bestFit="1" customWidth="1"/>
    <col min="135" max="135" width="10.77734375" bestFit="1" customWidth="1"/>
  </cols>
  <sheetData>
    <row r="3" spans="1:9" x14ac:dyDescent="0.3">
      <c r="A3" s="4" t="s">
        <v>870</v>
      </c>
      <c r="B3" s="4" t="s">
        <v>869</v>
      </c>
    </row>
    <row r="4" spans="1:9" x14ac:dyDescent="0.3">
      <c r="A4" s="4" t="s">
        <v>866</v>
      </c>
      <c r="B4" t="s">
        <v>8</v>
      </c>
      <c r="C4" t="s">
        <v>70</v>
      </c>
      <c r="D4" t="s">
        <v>864</v>
      </c>
      <c r="E4" t="s">
        <v>19</v>
      </c>
      <c r="F4" t="s">
        <v>65</v>
      </c>
      <c r="G4" t="s">
        <v>12</v>
      </c>
      <c r="H4" t="s">
        <v>23</v>
      </c>
      <c r="I4" t="s">
        <v>867</v>
      </c>
    </row>
    <row r="5" spans="1:9" x14ac:dyDescent="0.3">
      <c r="A5" s="5" t="s">
        <v>864</v>
      </c>
      <c r="B5" s="6">
        <v>1</v>
      </c>
      <c r="C5" s="6">
        <v>1</v>
      </c>
      <c r="D5" s="6">
        <v>1</v>
      </c>
      <c r="E5" s="6">
        <v>1</v>
      </c>
      <c r="F5" s="6">
        <v>3</v>
      </c>
      <c r="G5" s="6"/>
      <c r="H5" s="6">
        <v>2</v>
      </c>
      <c r="I5" s="6">
        <v>9</v>
      </c>
    </row>
    <row r="6" spans="1:9" x14ac:dyDescent="0.3">
      <c r="A6" s="7">
        <v>0.33333333333333331</v>
      </c>
      <c r="B6" s="6">
        <v>4</v>
      </c>
      <c r="C6" s="6"/>
      <c r="D6" s="6"/>
      <c r="E6" s="6">
        <v>3</v>
      </c>
      <c r="F6" s="6">
        <v>1</v>
      </c>
      <c r="G6" s="6"/>
      <c r="H6" s="6">
        <v>3</v>
      </c>
      <c r="I6" s="6">
        <v>11</v>
      </c>
    </row>
    <row r="7" spans="1:9" x14ac:dyDescent="0.3">
      <c r="A7" s="7">
        <v>0.35416666666666669</v>
      </c>
      <c r="B7" s="6">
        <v>1</v>
      </c>
      <c r="C7" s="6">
        <v>3</v>
      </c>
      <c r="D7" s="6"/>
      <c r="E7" s="6"/>
      <c r="F7" s="6"/>
      <c r="G7" s="6">
        <v>2</v>
      </c>
      <c r="H7" s="6">
        <v>1</v>
      </c>
      <c r="I7" s="6">
        <v>7</v>
      </c>
    </row>
    <row r="8" spans="1:9" x14ac:dyDescent="0.3">
      <c r="A8" s="7">
        <v>0.375</v>
      </c>
      <c r="B8" s="6">
        <v>1</v>
      </c>
      <c r="C8" s="6">
        <v>1</v>
      </c>
      <c r="D8" s="6"/>
      <c r="E8" s="6">
        <v>1</v>
      </c>
      <c r="F8" s="6">
        <v>2</v>
      </c>
      <c r="G8" s="6">
        <v>1</v>
      </c>
      <c r="H8" s="6">
        <v>2</v>
      </c>
      <c r="I8" s="6">
        <v>8</v>
      </c>
    </row>
    <row r="9" spans="1:9" x14ac:dyDescent="0.3">
      <c r="A9" s="7">
        <v>0.39583333333333331</v>
      </c>
      <c r="B9" s="6">
        <v>2</v>
      </c>
      <c r="C9" s="6">
        <v>1</v>
      </c>
      <c r="D9" s="6"/>
      <c r="E9" s="6"/>
      <c r="F9" s="6"/>
      <c r="G9" s="6">
        <v>1</v>
      </c>
      <c r="H9" s="6">
        <v>3</v>
      </c>
      <c r="I9" s="6">
        <v>7</v>
      </c>
    </row>
    <row r="10" spans="1:9" x14ac:dyDescent="0.3">
      <c r="A10" s="7">
        <v>0.41666666666666669</v>
      </c>
      <c r="B10" s="6"/>
      <c r="C10" s="6">
        <v>2</v>
      </c>
      <c r="D10" s="6"/>
      <c r="E10" s="6">
        <v>3</v>
      </c>
      <c r="F10" s="6">
        <v>1</v>
      </c>
      <c r="G10" s="6">
        <v>1</v>
      </c>
      <c r="H10" s="6">
        <v>3</v>
      </c>
      <c r="I10" s="6">
        <v>10</v>
      </c>
    </row>
    <row r="11" spans="1:9" x14ac:dyDescent="0.3">
      <c r="A11" s="7">
        <v>0.4375</v>
      </c>
      <c r="B11" s="6"/>
      <c r="C11" s="6">
        <v>1</v>
      </c>
      <c r="D11" s="6"/>
      <c r="E11" s="6">
        <v>1</v>
      </c>
      <c r="F11" s="6"/>
      <c r="G11" s="6"/>
      <c r="H11" s="6">
        <v>2</v>
      </c>
      <c r="I11" s="6">
        <v>4</v>
      </c>
    </row>
    <row r="12" spans="1:9" x14ac:dyDescent="0.3">
      <c r="A12" s="7">
        <v>0.45833333333333331</v>
      </c>
      <c r="B12" s="6">
        <v>1</v>
      </c>
      <c r="C12" s="6">
        <v>2</v>
      </c>
      <c r="D12" s="6"/>
      <c r="E12" s="6">
        <v>3</v>
      </c>
      <c r="F12" s="6">
        <v>1</v>
      </c>
      <c r="G12" s="6">
        <v>3</v>
      </c>
      <c r="H12" s="6">
        <v>1</v>
      </c>
      <c r="I12" s="6">
        <v>11</v>
      </c>
    </row>
    <row r="13" spans="1:9" x14ac:dyDescent="0.3">
      <c r="A13" s="7">
        <v>0.47916666666666669</v>
      </c>
      <c r="B13" s="6">
        <v>2</v>
      </c>
      <c r="C13" s="6"/>
      <c r="D13" s="6"/>
      <c r="E13" s="6">
        <v>1</v>
      </c>
      <c r="F13" s="6">
        <v>2</v>
      </c>
      <c r="G13" s="6"/>
      <c r="H13" s="6">
        <v>1</v>
      </c>
      <c r="I13" s="6">
        <v>6</v>
      </c>
    </row>
    <row r="14" spans="1:9" x14ac:dyDescent="0.3">
      <c r="A14" s="7">
        <v>0.5</v>
      </c>
      <c r="B14" s="6">
        <v>4</v>
      </c>
      <c r="C14" s="6">
        <v>2</v>
      </c>
      <c r="D14" s="6"/>
      <c r="E14" s="6">
        <v>4</v>
      </c>
      <c r="F14" s="6">
        <v>2</v>
      </c>
      <c r="G14" s="6"/>
      <c r="H14" s="6"/>
      <c r="I14" s="6">
        <v>12</v>
      </c>
    </row>
    <row r="15" spans="1:9" x14ac:dyDescent="0.3">
      <c r="A15" s="7">
        <v>0.52083333333333337</v>
      </c>
      <c r="B15" s="6">
        <v>2</v>
      </c>
      <c r="C15" s="6"/>
      <c r="D15" s="6"/>
      <c r="E15" s="6">
        <v>2</v>
      </c>
      <c r="F15" s="6"/>
      <c r="G15" s="6">
        <v>1</v>
      </c>
      <c r="H15" s="6">
        <v>1</v>
      </c>
      <c r="I15" s="6">
        <v>6</v>
      </c>
    </row>
    <row r="16" spans="1:9" x14ac:dyDescent="0.3">
      <c r="A16" s="7">
        <v>0.54166666666666663</v>
      </c>
      <c r="B16" s="6">
        <v>2</v>
      </c>
      <c r="C16" s="6">
        <v>2</v>
      </c>
      <c r="D16" s="6"/>
      <c r="E16" s="6"/>
      <c r="F16" s="6">
        <v>1</v>
      </c>
      <c r="G16" s="6">
        <v>1</v>
      </c>
      <c r="H16" s="6">
        <v>1</v>
      </c>
      <c r="I16" s="6">
        <v>7</v>
      </c>
    </row>
    <row r="17" spans="1:9" x14ac:dyDescent="0.3">
      <c r="A17" s="7">
        <v>0.5625</v>
      </c>
      <c r="B17" s="6"/>
      <c r="C17" s="6">
        <v>1</v>
      </c>
      <c r="D17" s="6"/>
      <c r="E17" s="6"/>
      <c r="F17" s="6">
        <v>1</v>
      </c>
      <c r="G17" s="6">
        <v>1</v>
      </c>
      <c r="H17" s="6">
        <v>2</v>
      </c>
      <c r="I17" s="6">
        <v>5</v>
      </c>
    </row>
    <row r="18" spans="1:9" x14ac:dyDescent="0.3">
      <c r="A18" s="7">
        <v>0.58333333333333337</v>
      </c>
      <c r="B18" s="6">
        <v>1</v>
      </c>
      <c r="C18" s="6">
        <v>2</v>
      </c>
      <c r="D18" s="6"/>
      <c r="E18" s="6"/>
      <c r="F18" s="6"/>
      <c r="G18" s="6">
        <v>2</v>
      </c>
      <c r="H18" s="6">
        <v>1</v>
      </c>
      <c r="I18" s="6">
        <v>6</v>
      </c>
    </row>
    <row r="19" spans="1:9" x14ac:dyDescent="0.3">
      <c r="A19" s="7">
        <v>0.60416666666666663</v>
      </c>
      <c r="B19" s="6">
        <v>2</v>
      </c>
      <c r="C19" s="6"/>
      <c r="D19" s="6"/>
      <c r="E19" s="6">
        <v>2</v>
      </c>
      <c r="F19" s="6">
        <v>1</v>
      </c>
      <c r="G19" s="6"/>
      <c r="H19" s="6">
        <v>2</v>
      </c>
      <c r="I19" s="6">
        <v>7</v>
      </c>
    </row>
    <row r="20" spans="1:9" x14ac:dyDescent="0.3">
      <c r="A20" s="7">
        <v>0.625</v>
      </c>
      <c r="B20" s="6">
        <v>1</v>
      </c>
      <c r="C20" s="6">
        <v>1</v>
      </c>
      <c r="D20" s="6"/>
      <c r="E20" s="6">
        <v>2</v>
      </c>
      <c r="F20" s="6">
        <v>2</v>
      </c>
      <c r="G20" s="6">
        <v>3</v>
      </c>
      <c r="H20" s="6"/>
      <c r="I20" s="6">
        <v>9</v>
      </c>
    </row>
    <row r="21" spans="1:9" x14ac:dyDescent="0.3">
      <c r="A21" s="7">
        <v>0.64583333333333337</v>
      </c>
      <c r="B21" s="6">
        <v>4</v>
      </c>
      <c r="C21" s="6">
        <v>1</v>
      </c>
      <c r="D21" s="6"/>
      <c r="E21" s="6">
        <v>2</v>
      </c>
      <c r="F21" s="6">
        <v>1</v>
      </c>
      <c r="G21" s="6">
        <v>2</v>
      </c>
      <c r="H21" s="6"/>
      <c r="I21" s="6">
        <v>10</v>
      </c>
    </row>
    <row r="22" spans="1:9" x14ac:dyDescent="0.3">
      <c r="A22" s="7">
        <v>0.66666666666666663</v>
      </c>
      <c r="B22" s="6">
        <v>1</v>
      </c>
      <c r="C22" s="6">
        <v>1</v>
      </c>
      <c r="D22" s="6"/>
      <c r="E22" s="6">
        <v>1</v>
      </c>
      <c r="F22" s="6">
        <v>4</v>
      </c>
      <c r="G22" s="6">
        <v>1</v>
      </c>
      <c r="H22" s="6">
        <v>2</v>
      </c>
      <c r="I22" s="6">
        <v>10</v>
      </c>
    </row>
    <row r="23" spans="1:9" x14ac:dyDescent="0.3">
      <c r="A23" s="7">
        <v>0.6875</v>
      </c>
      <c r="B23" s="6">
        <v>1</v>
      </c>
      <c r="C23" s="6">
        <v>2</v>
      </c>
      <c r="D23" s="6"/>
      <c r="E23" s="6">
        <v>1</v>
      </c>
      <c r="F23" s="6">
        <v>2</v>
      </c>
      <c r="G23" s="6">
        <v>1</v>
      </c>
      <c r="H23" s="6">
        <v>1</v>
      </c>
      <c r="I23" s="6">
        <v>8</v>
      </c>
    </row>
    <row r="24" spans="1:9" x14ac:dyDescent="0.3">
      <c r="A24" s="7">
        <v>0.70833333333333337</v>
      </c>
      <c r="B24" s="6"/>
      <c r="C24" s="6">
        <v>2</v>
      </c>
      <c r="D24" s="6"/>
      <c r="E24" s="6">
        <v>2</v>
      </c>
      <c r="F24" s="6">
        <v>2</v>
      </c>
      <c r="G24" s="6">
        <v>3</v>
      </c>
      <c r="H24" s="6">
        <v>2</v>
      </c>
      <c r="I24" s="6">
        <v>11</v>
      </c>
    </row>
    <row r="25" spans="1:9" x14ac:dyDescent="0.3">
      <c r="A25" s="7">
        <v>0.72916666666666663</v>
      </c>
      <c r="B25" s="6">
        <v>4</v>
      </c>
      <c r="C25" s="6"/>
      <c r="D25" s="6"/>
      <c r="E25" s="6"/>
      <c r="F25" s="6">
        <v>1</v>
      </c>
      <c r="G25" s="6">
        <v>2</v>
      </c>
      <c r="H25" s="6">
        <v>2</v>
      </c>
      <c r="I25" s="6">
        <v>9</v>
      </c>
    </row>
    <row r="26" spans="1:9" x14ac:dyDescent="0.3">
      <c r="A26" s="7">
        <v>0.75</v>
      </c>
      <c r="B26" s="6">
        <v>1</v>
      </c>
      <c r="C26" s="6">
        <v>2</v>
      </c>
      <c r="D26" s="6"/>
      <c r="E26" s="6">
        <v>2</v>
      </c>
      <c r="F26" s="6">
        <v>4</v>
      </c>
      <c r="G26" s="6">
        <v>2</v>
      </c>
      <c r="H26" s="6">
        <v>4</v>
      </c>
      <c r="I26" s="6">
        <v>15</v>
      </c>
    </row>
    <row r="27" spans="1:9" x14ac:dyDescent="0.3">
      <c r="A27" s="7">
        <v>0.77083333333333337</v>
      </c>
      <c r="B27" s="6">
        <v>1</v>
      </c>
      <c r="C27" s="6">
        <v>1</v>
      </c>
      <c r="D27" s="6"/>
      <c r="E27" s="6">
        <v>3</v>
      </c>
      <c r="F27" s="6">
        <v>2</v>
      </c>
      <c r="G27" s="6">
        <v>4</v>
      </c>
      <c r="H27" s="6">
        <v>1</v>
      </c>
      <c r="I27" s="6">
        <v>12</v>
      </c>
    </row>
    <row r="28" spans="1:9" x14ac:dyDescent="0.3">
      <c r="A28" s="5" t="s">
        <v>867</v>
      </c>
      <c r="B28" s="6">
        <v>36</v>
      </c>
      <c r="C28" s="6">
        <v>28</v>
      </c>
      <c r="D28" s="6">
        <v>1</v>
      </c>
      <c r="E28" s="6">
        <v>34</v>
      </c>
      <c r="F28" s="6">
        <v>33</v>
      </c>
      <c r="G28" s="6">
        <v>31</v>
      </c>
      <c r="H28" s="6">
        <v>37</v>
      </c>
      <c r="I28" s="6">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1BAEA-AA6E-4312-8BA5-DCDBF0345438}">
  <dimension ref="A3:I7"/>
  <sheetViews>
    <sheetView workbookViewId="0">
      <selection activeCell="A3" sqref="A3"/>
    </sheetView>
  </sheetViews>
  <sheetFormatPr defaultRowHeight="14.4" x14ac:dyDescent="0.3"/>
  <cols>
    <col min="1" max="1" width="24" bestFit="1" customWidth="1"/>
    <col min="2" max="2" width="15.5546875" bestFit="1" customWidth="1"/>
    <col min="3" max="3" width="15.77734375" bestFit="1" customWidth="1"/>
    <col min="4" max="9" width="12" bestFit="1" customWidth="1"/>
  </cols>
  <sheetData>
    <row r="3" spans="1:9" x14ac:dyDescent="0.3">
      <c r="A3" s="4" t="s">
        <v>873</v>
      </c>
      <c r="B3" s="4" t="s">
        <v>869</v>
      </c>
    </row>
    <row r="4" spans="1:9" x14ac:dyDescent="0.3">
      <c r="A4" s="4" t="s">
        <v>866</v>
      </c>
      <c r="B4" t="s">
        <v>8</v>
      </c>
      <c r="C4" t="s">
        <v>70</v>
      </c>
      <c r="D4" t="s">
        <v>864</v>
      </c>
      <c r="E4" t="s">
        <v>19</v>
      </c>
      <c r="F4" t="s">
        <v>65</v>
      </c>
      <c r="G4" t="s">
        <v>12</v>
      </c>
      <c r="H4" t="s">
        <v>23</v>
      </c>
      <c r="I4" t="s">
        <v>867</v>
      </c>
    </row>
    <row r="5" spans="1:9" x14ac:dyDescent="0.3">
      <c r="A5" s="5" t="s">
        <v>872</v>
      </c>
      <c r="B5" s="6">
        <v>7.290322580645161</v>
      </c>
      <c r="C5" s="6">
        <v>5.9523809523809526</v>
      </c>
      <c r="D5" s="6">
        <v>6.1014063654285717</v>
      </c>
      <c r="E5" s="6">
        <v>6.3636363636363633</v>
      </c>
      <c r="F5" s="6">
        <v>7.3076923076923075</v>
      </c>
      <c r="G5" s="6">
        <v>7.1363636363636367</v>
      </c>
      <c r="H5" s="6">
        <v>6.84375</v>
      </c>
      <c r="I5" s="6">
        <v>6.8006386311511626</v>
      </c>
    </row>
    <row r="6" spans="1:9" x14ac:dyDescent="0.3">
      <c r="A6" s="5" t="s">
        <v>871</v>
      </c>
      <c r="B6" s="6">
        <v>3</v>
      </c>
      <c r="C6" s="6">
        <v>3</v>
      </c>
      <c r="D6" s="6"/>
      <c r="E6" s="6">
        <v>3</v>
      </c>
      <c r="F6" s="6">
        <v>3</v>
      </c>
      <c r="G6" s="6">
        <v>3</v>
      </c>
      <c r="H6" s="6">
        <v>3</v>
      </c>
      <c r="I6" s="6">
        <v>3</v>
      </c>
    </row>
    <row r="7" spans="1:9" x14ac:dyDescent="0.3">
      <c r="A7" s="5" t="s">
        <v>867</v>
      </c>
      <c r="B7" s="6">
        <v>7.0303030303030303</v>
      </c>
      <c r="C7" s="6">
        <v>5.384615384615385</v>
      </c>
      <c r="D7" s="6">
        <v>6.1014063654285717</v>
      </c>
      <c r="E7" s="6">
        <v>6.2647058823529411</v>
      </c>
      <c r="F7" s="6">
        <v>6.5</v>
      </c>
      <c r="G7" s="6">
        <v>6.0333333333333332</v>
      </c>
      <c r="H7" s="6">
        <v>6.3243243243243246</v>
      </c>
      <c r="I7" s="6">
        <v>6.284974093256281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feedback_data</vt:lpstr>
      <vt:lpstr>combined_dataset</vt:lpstr>
      <vt:lpstr>appointment_data</vt:lpstr>
      <vt:lpstr>resource_data</vt:lpstr>
      <vt:lpstr>Resource Allocation</vt:lpstr>
      <vt:lpstr>Appointment Hours</vt:lpstr>
      <vt:lpstr>Satisfaction 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Mohit Sharma</cp:lastModifiedBy>
  <dcterms:created xsi:type="dcterms:W3CDTF">2026-05-01T11:46:52Z</dcterms:created>
  <dcterms:modified xsi:type="dcterms:W3CDTF">2026-05-01T12:49:11Z</dcterms:modified>
</cp:coreProperties>
</file>